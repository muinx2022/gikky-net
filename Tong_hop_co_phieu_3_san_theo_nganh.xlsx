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Điểm mua Market Structure" sheetId="1" state="visible" r:id="rId1"/>
    <sheet name="Toàn bộ cổ phiếu (&gt;=50k)" sheetId="2" state="visible" r:id="rId2"/>
    <sheet name="Danh sách mã đầu ngành" sheetId="3" state="visible" r:id="rId3"/>
    <sheet name="Tổng quan &amp; Thống kê" sheetId="4" state="visible" r:id="rId4"/>
  </sheets>
  <definedNames>
    <definedName name="_xlnm._FilterDatabase" localSheetId="0" hidden="1">'🎯 Điểm mua Market Structure'!$A$3:$S$34</definedName>
    <definedName name="_xlnm._FilterDatabase" localSheetId="1" hidden="1">'Toàn bộ cổ phiếu (&gt;=50k)'!$A$3:$O$356</definedName>
    <definedName name="_xlnm._FilterDatabase" localSheetId="2" hidden="1">'Danh sách mã đầu ngành'!$A$3:$O$113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.5"/>
    </font>
    <font>
      <name val="Arial"/>
      <b val="1"/>
      <color rgb="00FFFFFF"/>
      <sz val="11"/>
    </font>
    <font>
      <name val="Arial"/>
      <color rgb="00334155"/>
      <sz val="10"/>
    </font>
    <font>
      <name val="Arial"/>
      <b val="1"/>
      <color rgb="00047857"/>
      <sz val="11"/>
    </font>
    <font>
      <name val="Arial"/>
      <b val="1"/>
      <color rgb="00B45309"/>
      <sz val="10"/>
    </font>
    <font>
      <name val="Arial"/>
      <b val="1"/>
      <color rgb="001E293B"/>
      <sz val="10"/>
    </font>
    <font>
      <name val="Arial"/>
      <b val="1"/>
      <color rgb="00047857"/>
      <sz val="9.5"/>
    </font>
    <font>
      <name val="Arial"/>
      <b val="1"/>
      <color rgb="001E4620"/>
      <sz val="10"/>
    </font>
    <font>
      <name val="Arial"/>
      <b val="1"/>
      <color rgb="00C00000"/>
      <sz val="10"/>
    </font>
    <font>
      <name val="Arial"/>
      <b val="1"/>
      <color rgb="001E293B"/>
      <sz val="11"/>
    </font>
    <font>
      <name val="Arial"/>
      <color rgb="0064748B"/>
      <sz val="9.5"/>
    </font>
    <font>
      <name val="Arial"/>
      <b val="1"/>
      <color rgb="00C00000"/>
      <sz val="11"/>
    </font>
    <font>
      <name val="Arial"/>
      <b val="1"/>
      <color rgb="00C00000"/>
      <sz val="9.5"/>
    </font>
    <font>
      <name val="Arial"/>
      <b val="1"/>
      <color rgb="001E4620"/>
      <sz val="11"/>
    </font>
    <font>
      <name val="Arial"/>
      <b val="1"/>
      <color rgb="001E4620"/>
      <sz val="9.5"/>
    </font>
    <font>
      <name val="Arial"/>
      <b val="1"/>
      <color rgb="000F172A"/>
      <sz val="10.5"/>
    </font>
    <font>
      <name val="Arial"/>
      <b val="1"/>
      <color rgb="00FFFFFF"/>
      <sz val="13"/>
    </font>
    <font>
      <name val="Arial"/>
      <b val="1"/>
      <color rgb="00FFFFFF"/>
      <sz val="10.5"/>
    </font>
    <font>
      <name val="Arial"/>
      <color rgb="001E293B"/>
      <sz val="10"/>
    </font>
    <font>
      <name val="Arial"/>
      <b val="1"/>
      <color rgb="002563EB"/>
      <sz val="10"/>
      <u val="single"/>
    </font>
    <font>
      <name val="Arial"/>
      <b val="1"/>
      <color rgb="00065F46"/>
      <sz val="10"/>
    </font>
    <font>
      <name val="Arial"/>
      <b val="1"/>
      <color rgb="000F172A"/>
      <sz val="10"/>
    </font>
    <font>
      <name val="Arial"/>
      <b val="1"/>
      <color rgb="003730A3"/>
      <sz val="10"/>
    </font>
    <font>
      <name val="Arial"/>
      <b val="1"/>
      <color rgb="000F172A"/>
      <sz val="11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0E7FF"/>
        <bgColor rgb="00E0E7FF"/>
      </patternFill>
    </fill>
  </fills>
  <borders count="11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medium">
        <color rgb="001E293B"/>
      </top>
      <bottom/>
      <diagonal/>
    </border>
    <border>
      <left/>
      <right style="thin">
        <color rgb="00475569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thin">
        <color rgb="00475569"/>
      </right>
      <top style="medium">
        <color rgb="001E293B"/>
      </top>
      <bottom style="medium">
        <color rgb="001E293B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3" fontId="7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3" fontId="7" fillId="9" borderId="2" applyAlignment="1" pivotButton="0" quotePrefix="0" xfId="0">
      <alignment horizontal="right" vertical="center"/>
    </xf>
    <xf numFmtId="3" fontId="4" fillId="9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0" fillId="10" borderId="1" pivotButton="0" quotePrefix="0" xfId="0"/>
    <xf numFmtId="0" fontId="17" fillId="10" borderId="1" pivotButton="0" quotePrefix="0" xfId="0"/>
    <xf numFmtId="3" fontId="17" fillId="10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3" fontId="20" fillId="3" borderId="2" applyAlignment="1" pivotButton="0" quotePrefix="0" xfId="0">
      <alignment horizontal="right" vertical="center"/>
    </xf>
    <xf numFmtId="3" fontId="23" fillId="3" borderId="2" applyAlignment="1" pivotButton="0" quotePrefix="0" xfId="0">
      <alignment horizontal="right" vertical="center"/>
    </xf>
    <xf numFmtId="0" fontId="20" fillId="3" borderId="2" applyAlignment="1" pivotButton="0" quotePrefix="0" xfId="0">
      <alignment horizontal="left" vertical="center"/>
    </xf>
    <xf numFmtId="0" fontId="20" fillId="9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3" fontId="20" fillId="9" borderId="2" applyAlignment="1" pivotButton="0" quotePrefix="0" xfId="0">
      <alignment horizontal="right" vertical="center"/>
    </xf>
    <xf numFmtId="3" fontId="23" fillId="9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left" vertical="center"/>
    </xf>
    <xf numFmtId="0" fontId="25" fillId="9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2" customWidth="1" min="4" max="4"/>
    <col width="20" customWidth="1" min="5" max="5"/>
    <col width="16" customWidth="1" min="6" max="6"/>
    <col width="24" customWidth="1" min="7" max="7"/>
    <col width="18" customWidth="1" min="8" max="8"/>
    <col width="18" customWidth="1" min="9" max="9"/>
    <col width="20" customWidth="1" min="10" max="10"/>
    <col width="12" customWidth="1" min="11" max="11"/>
    <col width="10" customWidth="1" min="12" max="12"/>
    <col width="20" customWidth="1" min="13" max="13"/>
    <col width="22" customWidth="1" min="14" max="14"/>
    <col width="16" customWidth="1" min="15" max="15"/>
    <col width="24" customWidth="1" min="16" max="16"/>
    <col width="18" customWidth="1" min="17" max="17"/>
    <col width="18" customWidth="1" min="18" max="18"/>
    <col width="55" customWidth="1" min="19" max="19"/>
  </cols>
  <sheetData>
    <row r="1" ht="40" customHeight="1">
      <c r="A1" s="37" t="inlineStr">
        <is>
          <t>DANH SÁCH CỔ PHIẾU VÙNG MUA THEO CẤU TRÚC THỊ TRƯỜNG (MARKET STRUCTURE) - 31 MÃ TIÊU BIỂU</t>
        </is>
      </c>
    </row>
    <row r="2" ht="24" customHeight="1">
      <c r="A2" s="38" t="inlineStr">
        <is>
          <t>Click vào cột 'Xem Biểu Đồ FireAnt' hoặc 'Xem TradingView' để mở chart kỹ thuật trực tiếp | Đánh dấu đầu ngành ⭐ | Tô đậm xanh: Tiền mặt hàng năm | Tô đậm đỏ: Cổ tức cổ phiếu</t>
        </is>
      </c>
    </row>
    <row r="3" ht="28" customHeight="1">
      <c r="A3" s="39" t="inlineStr">
        <is>
          <t>STT</t>
        </is>
      </c>
      <c r="B3" s="39" t="inlineStr">
        <is>
          <t>Mã CK</t>
        </is>
      </c>
      <c r="C3" s="39" t="inlineStr">
        <is>
          <t>Sàn</t>
        </is>
      </c>
      <c r="D3" s="39" t="inlineStr">
        <is>
          <t>Biểu Đồ FireAnt (Click)</t>
        </is>
      </c>
      <c r="E3" s="39" t="inlineStr">
        <is>
          <t>TradingView (Click)</t>
        </is>
      </c>
      <c r="F3" s="39" t="inlineStr">
        <is>
          <t>Vị thế ngành</t>
        </is>
      </c>
      <c r="G3" s="39" t="inlineStr">
        <is>
          <t>Mẫu hình Market Structure</t>
        </is>
      </c>
      <c r="H3" s="39" t="inlineStr">
        <is>
          <t>Thị giá hiện tại (đ)</t>
        </is>
      </c>
      <c r="I3" s="39" t="inlineStr">
        <is>
          <t>Vùng cắt lỗ SL (đ)</t>
        </is>
      </c>
      <c r="J3" s="39" t="inlineStr">
        <is>
          <t>Mục tiêu chốt lời TP (đ)</t>
        </is>
      </c>
      <c r="K3" s="39" t="inlineStr">
        <is>
          <t>Tỷ lệ R/R</t>
        </is>
      </c>
      <c r="L3" s="39" t="inlineStr">
        <is>
          <t>RSI (14)</t>
        </is>
      </c>
      <c r="M3" s="39" t="inlineStr">
        <is>
          <t>KL BQ 20 phiên (CP)</t>
        </is>
      </c>
      <c r="N3" s="39" t="inlineStr">
        <is>
          <t>Khối lượng phiên gần nhất</t>
        </is>
      </c>
      <c r="O3" s="39" t="inlineStr">
        <is>
          <t>Tín hiệu Volume</t>
        </is>
      </c>
      <c r="P3" s="39" t="inlineStr">
        <is>
          <t>Nhóm ngành (Cấp 2)</t>
        </is>
      </c>
      <c r="Q3" s="39" t="inlineStr">
        <is>
          <t>Cổ tức tiền mặt</t>
        </is>
      </c>
      <c r="R3" s="39" t="inlineStr">
        <is>
          <t>Cổ tức cổ phiếu</t>
        </is>
      </c>
      <c r="S3" s="39" t="inlineStr">
        <is>
          <t>Chiến lược &amp; Nhận định cấu trúc</t>
        </is>
      </c>
    </row>
    <row r="4" ht="23" customHeight="1">
      <c r="A4" s="40" t="n">
        <v>1</v>
      </c>
      <c r="B4" s="5" t="inlineStr">
        <is>
          <t>NLG</t>
        </is>
      </c>
      <c r="C4" s="40" t="inlineStr">
        <is>
          <t>HOSE</t>
        </is>
      </c>
      <c r="D4" s="41">
        <f>HYPERLINK("https://fireant.vn/dong-tien/bieu-do-ky-thuat/NLG", "📈 Mở Chart NLG")</f>
        <v/>
      </c>
      <c r="E4" s="41">
        <f>HYPERLINK("https://vn.tradingview.com/chart/?symbol=HOSE:NLG", "📊 TradingView NLG")</f>
        <v/>
      </c>
      <c r="F4" s="7" t="inlineStr">
        <is>
          <t>⭐ Đầu ngành</t>
        </is>
      </c>
      <c r="G4" s="42" t="inlineStr">
        <is>
          <t>Pullback Test Hỗ Trợ (HL)</t>
        </is>
      </c>
      <c r="H4" s="43" t="n">
        <v>24100</v>
      </c>
      <c r="I4" s="43" t="n">
        <v>23030</v>
      </c>
      <c r="J4" s="43" t="n">
        <v>27250</v>
      </c>
      <c r="K4" s="40" t="inlineStr">
        <is>
          <t>1 : 2.94</t>
        </is>
      </c>
      <c r="L4" s="40" t="n">
        <v>45.7</v>
      </c>
      <c r="M4" s="44" t="n">
        <v>2108305</v>
      </c>
      <c r="N4" s="44" t="n">
        <v>978300</v>
      </c>
      <c r="O4" s="40" t="inlineStr">
        <is>
          <t>-54% TB20</t>
        </is>
      </c>
      <c r="P4" s="45" t="inlineStr">
        <is>
          <t>Bất động sản</t>
        </is>
      </c>
      <c r="Q4" s="11" t="inlineStr">
        <is>
          <t>Hàng năm</t>
        </is>
      </c>
      <c r="R4" s="12" t="inlineStr">
        <is>
          <t>Có</t>
        </is>
      </c>
      <c r="S4" s="45" t="inlineStr">
        <is>
          <t>Giá kiểm định thành công hỗ trợ MA20 (24,350 đ) tạo Higher Low vững chắc, cung suy giảm.</t>
        </is>
      </c>
    </row>
    <row r="5" ht="23" customHeight="1">
      <c r="A5" s="46" t="n">
        <v>2</v>
      </c>
      <c r="B5" s="5" t="inlineStr">
        <is>
          <t>REE</t>
        </is>
      </c>
      <c r="C5" s="46" t="inlineStr">
        <is>
          <t>HOSE</t>
        </is>
      </c>
      <c r="D5" s="41">
        <f>HYPERLINK("https://fireant.vn/dong-tien/bieu-do-ky-thuat/REE", "📈 Mở Chart REE")</f>
        <v/>
      </c>
      <c r="E5" s="41">
        <f>HYPERLINK("https://vn.tradingview.com/chart/?symbol=HOSE:REE", "📊 TradingView REE")</f>
        <v/>
      </c>
      <c r="F5" s="7" t="inlineStr">
        <is>
          <t>⭐ Đầu ngành</t>
        </is>
      </c>
      <c r="G5" s="47" t="inlineStr">
        <is>
          <t>Breakout Nền / BOS</t>
        </is>
      </c>
      <c r="H5" s="48" t="n">
        <v>47050</v>
      </c>
      <c r="I5" s="48" t="n">
        <v>44360</v>
      </c>
      <c r="J5" s="48" t="n">
        <v>54110</v>
      </c>
      <c r="K5" s="46" t="inlineStr">
        <is>
          <t>1 : 2.62</t>
        </is>
      </c>
      <c r="L5" s="46" t="n">
        <v>62.8</v>
      </c>
      <c r="M5" s="49" t="n">
        <v>321160</v>
      </c>
      <c r="N5" s="49" t="n">
        <v>1001000</v>
      </c>
      <c r="O5" s="46" t="inlineStr">
        <is>
          <t>+212% TB20</t>
        </is>
      </c>
      <c r="P5" s="50" t="inlineStr">
        <is>
          <t>Điện, nước &amp; xăng dầu khí đốt</t>
        </is>
      </c>
      <c r="Q5" s="11" t="inlineStr">
        <is>
          <t>Hàng năm</t>
        </is>
      </c>
      <c r="R5" s="12" t="inlineStr">
        <is>
          <t>Có</t>
        </is>
      </c>
      <c r="S5" s="50" t="inlineStr">
        <is>
          <t>Giá bứt phá vượt đỉnh kháng cự 20 phiên (46,700 đ) kèm khối lượng đột biến (+212% so với TB20).</t>
        </is>
      </c>
    </row>
    <row r="6" ht="23" customHeight="1">
      <c r="A6" s="40" t="n">
        <v>3</v>
      </c>
      <c r="B6" s="5" t="inlineStr">
        <is>
          <t>VJC</t>
        </is>
      </c>
      <c r="C6" s="40" t="inlineStr">
        <is>
          <t>HOSE</t>
        </is>
      </c>
      <c r="D6" s="41">
        <f>HYPERLINK("https://fireant.vn/dong-tien/bieu-do-ky-thuat/VJC", "📈 Mở Chart VJC")</f>
        <v/>
      </c>
      <c r="E6" s="41">
        <f>HYPERLINK("https://vn.tradingview.com/chart/?symbol=HOSE:VJC", "📊 TradingView VJC")</f>
        <v/>
      </c>
      <c r="F6" s="7" t="inlineStr">
        <is>
          <t>⭐ Đầu ngành</t>
        </is>
      </c>
      <c r="G6" s="47" t="inlineStr">
        <is>
          <t>Breakout Nền / BOS</t>
        </is>
      </c>
      <c r="H6" s="43" t="n">
        <v>129000</v>
      </c>
      <c r="I6" s="43" t="n">
        <v>121600</v>
      </c>
      <c r="J6" s="43" t="n">
        <v>148350</v>
      </c>
      <c r="K6" s="40" t="inlineStr">
        <is>
          <t>1 : 2.61</t>
        </is>
      </c>
      <c r="L6" s="40" t="n">
        <v>56.8</v>
      </c>
      <c r="M6" s="44" t="n">
        <v>1222740</v>
      </c>
      <c r="N6" s="44" t="n">
        <v>2012700</v>
      </c>
      <c r="O6" s="40" t="inlineStr">
        <is>
          <t>+65% TB20</t>
        </is>
      </c>
      <c r="P6" s="45" t="inlineStr">
        <is>
          <t>Du lịch và Giải trí</t>
        </is>
      </c>
      <c r="Q6" s="11" t="inlineStr">
        <is>
          <t>Hàng năm</t>
        </is>
      </c>
      <c r="R6" s="12" t="inlineStr">
        <is>
          <t>Có</t>
        </is>
      </c>
      <c r="S6" s="45" t="inlineStr">
        <is>
          <t>Giá bứt phá vượt đỉnh kháng cự 20 phiên (128,000 đ) kèm khối lượng đột biến (+65% so với TB20).</t>
        </is>
      </c>
    </row>
    <row r="7" ht="23" customHeight="1">
      <c r="A7" s="46" t="n">
        <v>4</v>
      </c>
      <c r="B7" s="11" t="inlineStr">
        <is>
          <t>DCM</t>
        </is>
      </c>
      <c r="C7" s="46" t="inlineStr">
        <is>
          <t>HOSE</t>
        </is>
      </c>
      <c r="D7" s="41">
        <f>HYPERLINK("https://fireant.vn/dong-tien/bieu-do-ky-thuat/DCM", "📈 Mở Chart DCM")</f>
        <v/>
      </c>
      <c r="E7" s="41">
        <f>HYPERLINK("https://vn.tradingview.com/chart/?symbol=HOSE:DCM", "📊 TradingView DCM")</f>
        <v/>
      </c>
      <c r="F7" s="7" t="inlineStr">
        <is>
          <t>⭐ Đầu ngành</t>
        </is>
      </c>
      <c r="G7" s="42" t="inlineStr">
        <is>
          <t>Pullback Test Hỗ Trợ (HL)</t>
        </is>
      </c>
      <c r="H7" s="48" t="n">
        <v>33050</v>
      </c>
      <c r="I7" s="48" t="n">
        <v>31110</v>
      </c>
      <c r="J7" s="48" t="n">
        <v>37020</v>
      </c>
      <c r="K7" s="46" t="inlineStr">
        <is>
          <t>1 : 2.05</t>
        </is>
      </c>
      <c r="L7" s="46" t="n">
        <v>63.2</v>
      </c>
      <c r="M7" s="49" t="n">
        <v>3364255</v>
      </c>
      <c r="N7" s="49" t="n">
        <v>3695500</v>
      </c>
      <c r="O7" s="46" t="inlineStr">
        <is>
          <t>+10% TB20</t>
        </is>
      </c>
      <c r="P7" s="50" t="inlineStr">
        <is>
          <t>Hóa chất</t>
        </is>
      </c>
      <c r="Q7" s="11" t="inlineStr">
        <is>
          <t>Hàng năm</t>
        </is>
      </c>
      <c r="R7" s="46" t="inlineStr">
        <is>
          <t>Không</t>
        </is>
      </c>
      <c r="S7" s="50" t="inlineStr">
        <is>
          <t>Giá kiểm định thành công hỗ trợ MA20 (32,072 đ) tạo Higher Low vững chắc, cung suy giảm.</t>
        </is>
      </c>
    </row>
    <row r="8" ht="23" customHeight="1">
      <c r="A8" s="40" t="n">
        <v>5</v>
      </c>
      <c r="B8" s="12" t="inlineStr">
        <is>
          <t>STB</t>
        </is>
      </c>
      <c r="C8" s="40" t="inlineStr">
        <is>
          <t>HOSE</t>
        </is>
      </c>
      <c r="D8" s="41">
        <f>HYPERLINK("https://fireant.vn/dong-tien/bieu-do-ky-thuat/STB", "📈 Mở Chart STB")</f>
        <v/>
      </c>
      <c r="E8" s="41">
        <f>HYPERLINK("https://vn.tradingview.com/chart/?symbol=HOSE:STB", "📊 TradingView STB")</f>
        <v/>
      </c>
      <c r="F8" s="7" t="inlineStr">
        <is>
          <t>⭐ Đầu ngành</t>
        </is>
      </c>
      <c r="G8" s="42" t="inlineStr">
        <is>
          <t>Pullback Test Hỗ Trợ (HL)</t>
        </is>
      </c>
      <c r="H8" s="43" t="n">
        <v>78200</v>
      </c>
      <c r="I8" s="43" t="n">
        <v>73520</v>
      </c>
      <c r="J8" s="43" t="n">
        <v>87580</v>
      </c>
      <c r="K8" s="40" t="inlineStr">
        <is>
          <t>1 : 2.0</t>
        </is>
      </c>
      <c r="L8" s="40" t="n">
        <v>62.3</v>
      </c>
      <c r="M8" s="44" t="n">
        <v>3571900</v>
      </c>
      <c r="N8" s="44" t="n">
        <v>5077900</v>
      </c>
      <c r="O8" s="40" t="inlineStr">
        <is>
          <t>+42% TB20</t>
        </is>
      </c>
      <c r="P8" s="45" t="inlineStr">
        <is>
          <t>Ngân hàng</t>
        </is>
      </c>
      <c r="Q8" s="40" t="inlineStr">
        <is>
          <t>Không</t>
        </is>
      </c>
      <c r="R8" s="12" t="inlineStr">
        <is>
          <t>Có</t>
        </is>
      </c>
      <c r="S8" s="45" t="inlineStr">
        <is>
          <t>Giá kiểm định thành công hỗ trợ MA20 (75,790 đ) tạo Higher Low vững chắc, cung suy giảm.</t>
        </is>
      </c>
    </row>
    <row r="9" ht="23" customHeight="1">
      <c r="A9" s="46" t="n">
        <v>6</v>
      </c>
      <c r="B9" s="5" t="inlineStr">
        <is>
          <t>HAH</t>
        </is>
      </c>
      <c r="C9" s="46" t="inlineStr">
        <is>
          <t>HOSE</t>
        </is>
      </c>
      <c r="D9" s="41">
        <f>HYPERLINK("https://fireant.vn/dong-tien/bieu-do-ky-thuat/HAH", "📈 Mở Chart HAH")</f>
        <v/>
      </c>
      <c r="E9" s="41">
        <f>HYPERLINK("https://vn.tradingview.com/chart/?symbol=HOSE:HAH", "📊 TradingView HAH")</f>
        <v/>
      </c>
      <c r="F9" s="7" t="inlineStr">
        <is>
          <t>⭐ Đầu ngành</t>
        </is>
      </c>
      <c r="G9" s="42" t="inlineStr">
        <is>
          <t>Pullback Test Hỗ Trợ (HL)</t>
        </is>
      </c>
      <c r="H9" s="48" t="n">
        <v>47950</v>
      </c>
      <c r="I9" s="48" t="n">
        <v>42040</v>
      </c>
      <c r="J9" s="48" t="n">
        <v>53700</v>
      </c>
      <c r="K9" s="46" t="inlineStr">
        <is>
          <t>1 : 0.97</t>
        </is>
      </c>
      <c r="L9" s="46" t="n">
        <v>50.9</v>
      </c>
      <c r="M9" s="49" t="n">
        <v>726735</v>
      </c>
      <c r="N9" s="49" t="n">
        <v>483700</v>
      </c>
      <c r="O9" s="46" t="inlineStr">
        <is>
          <t>-33% TB20</t>
        </is>
      </c>
      <c r="P9" s="50" t="inlineStr">
        <is>
          <t>Hàng &amp; Dịch vụ Công nghiệp</t>
        </is>
      </c>
      <c r="Q9" s="11" t="inlineStr">
        <is>
          <t>Hàng năm</t>
        </is>
      </c>
      <c r="R9" s="12" t="inlineStr">
        <is>
          <t>Có</t>
        </is>
      </c>
      <c r="S9" s="50" t="inlineStr">
        <is>
          <t>Giá kiểm định thành công hỗ trợ MA20 (47,265 đ) tạo Higher Low vững chắc, cung suy giảm.</t>
        </is>
      </c>
    </row>
    <row r="10" ht="23" customHeight="1">
      <c r="A10" s="40" t="n">
        <v>7</v>
      </c>
      <c r="B10" s="5" t="inlineStr">
        <is>
          <t>PVS</t>
        </is>
      </c>
      <c r="C10" s="40" t="inlineStr">
        <is>
          <t>HNX</t>
        </is>
      </c>
      <c r="D10" s="41">
        <f>HYPERLINK("https://fireant.vn/dong-tien/bieu-do-ky-thuat/PVS", "📈 Mở Chart PVS")</f>
        <v/>
      </c>
      <c r="E10" s="41">
        <f>HYPERLINK("https://vn.tradingview.com/chart/?symbol=HNX:PVS", "📊 TradingView PVS")</f>
        <v/>
      </c>
      <c r="F10" s="7" t="inlineStr">
        <is>
          <t>⭐ Đầu ngành</t>
        </is>
      </c>
      <c r="G10" s="42" t="inlineStr">
        <is>
          <t>Pullback Test Hỗ Trợ (HL)</t>
        </is>
      </c>
      <c r="H10" s="43" t="n">
        <v>33300</v>
      </c>
      <c r="I10" s="43" t="n">
        <v>28320</v>
      </c>
      <c r="J10" s="43" t="n">
        <v>37300</v>
      </c>
      <c r="K10" s="40" t="inlineStr">
        <is>
          <t>1 : 0.8</t>
        </is>
      </c>
      <c r="L10" s="40" t="n">
        <v>52.3</v>
      </c>
      <c r="M10" s="44" t="n">
        <v>3646720</v>
      </c>
      <c r="N10" s="44" t="n">
        <v>2163100</v>
      </c>
      <c r="O10" s="40" t="inlineStr">
        <is>
          <t>-41% TB20</t>
        </is>
      </c>
      <c r="P10" s="45" t="inlineStr">
        <is>
          <t>Dầu khí</t>
        </is>
      </c>
      <c r="Q10" s="11" t="inlineStr">
        <is>
          <t>Hàng năm</t>
        </is>
      </c>
      <c r="R10" s="12" t="inlineStr">
        <is>
          <t>Có</t>
        </is>
      </c>
      <c r="S10" s="45" t="inlineStr">
        <is>
          <t>Giá kiểm định thành công hỗ trợ MA20 (32,285 đ) tạo Higher Low vững chắc, cung suy giảm.</t>
        </is>
      </c>
    </row>
    <row r="11" ht="23" customHeight="1">
      <c r="A11" s="46" t="n">
        <v>8</v>
      </c>
      <c r="B11" s="5" t="inlineStr">
        <is>
          <t>TVS</t>
        </is>
      </c>
      <c r="C11" s="46" t="inlineStr">
        <is>
          <t>HOSE</t>
        </is>
      </c>
      <c r="D11" s="41">
        <f>HYPERLINK("https://fireant.vn/dong-tien/bieu-do-ky-thuat/TVS", "📈 Mở Chart TVS")</f>
        <v/>
      </c>
      <c r="E11" s="41">
        <f>HYPERLINK("https://vn.tradingview.com/chart/?symbol=HOSE:TVS", "📊 TradingView TVS")</f>
        <v/>
      </c>
      <c r="F11" s="46" t="inlineStr">
        <is>
          <t>Thành viên</t>
        </is>
      </c>
      <c r="G11" s="42" t="inlineStr">
        <is>
          <t>Pullback Test Hỗ Trợ (HL)</t>
        </is>
      </c>
      <c r="H11" s="48" t="n">
        <v>14300</v>
      </c>
      <c r="I11" s="48" t="n">
        <v>13760</v>
      </c>
      <c r="J11" s="48" t="n">
        <v>16020</v>
      </c>
      <c r="K11" s="46" t="inlineStr">
        <is>
          <t>1 : 3.19</t>
        </is>
      </c>
      <c r="L11" s="46" t="n">
        <v>57.4</v>
      </c>
      <c r="M11" s="49" t="n">
        <v>147765</v>
      </c>
      <c r="N11" s="49" t="n">
        <v>162700</v>
      </c>
      <c r="O11" s="46" t="inlineStr">
        <is>
          <t>+10% TB20</t>
        </is>
      </c>
      <c r="P11" s="50" t="inlineStr">
        <is>
          <t>Dịch vụ tài chính</t>
        </is>
      </c>
      <c r="Q11" s="11" t="inlineStr">
        <is>
          <t>Hàng năm</t>
        </is>
      </c>
      <c r="R11" s="12" t="inlineStr">
        <is>
          <t>Có</t>
        </is>
      </c>
      <c r="S11" s="50" t="inlineStr">
        <is>
          <t>Giá kiểm định thành công hỗ trợ MA20 (14,185 đ) tạo Higher Low vững chắc, cung suy giảm.</t>
        </is>
      </c>
    </row>
    <row r="12" ht="23" customHeight="1">
      <c r="A12" s="40" t="n">
        <v>9</v>
      </c>
      <c r="B12" s="5" t="inlineStr">
        <is>
          <t>PVG</t>
        </is>
      </c>
      <c r="C12" s="40" t="inlineStr">
        <is>
          <t>HNX</t>
        </is>
      </c>
      <c r="D12" s="41">
        <f>HYPERLINK("https://fireant.vn/dong-tien/bieu-do-ky-thuat/PVG", "📈 Mở Chart PVG")</f>
        <v/>
      </c>
      <c r="E12" s="41">
        <f>HYPERLINK("https://vn.tradingview.com/chart/?symbol=HNX:PVG", "📊 TradingView PVG")</f>
        <v/>
      </c>
      <c r="F12" s="40" t="inlineStr">
        <is>
          <t>Thành viên</t>
        </is>
      </c>
      <c r="G12" s="42" t="inlineStr">
        <is>
          <t>Pullback Test Hỗ Trợ (HL)</t>
        </is>
      </c>
      <c r="H12" s="43" t="n">
        <v>6000</v>
      </c>
      <c r="I12" s="43" t="n">
        <v>5670</v>
      </c>
      <c r="J12" s="43" t="n">
        <v>7040</v>
      </c>
      <c r="K12" s="40" t="inlineStr">
        <is>
          <t>1 : 3.15</t>
        </is>
      </c>
      <c r="L12" s="40" t="n">
        <v>58.8</v>
      </c>
      <c r="M12" s="44" t="n">
        <v>88160</v>
      </c>
      <c r="N12" s="44" t="n">
        <v>87300</v>
      </c>
      <c r="O12" s="40" t="inlineStr">
        <is>
          <t>-1% TB20</t>
        </is>
      </c>
      <c r="P12" s="45" t="inlineStr">
        <is>
          <t>Điện, nước &amp; xăng dầu khí đốt</t>
        </is>
      </c>
      <c r="Q12" s="11" t="inlineStr">
        <is>
          <t>Hàng năm</t>
        </is>
      </c>
      <c r="R12" s="12" t="inlineStr">
        <is>
          <t>Có</t>
        </is>
      </c>
      <c r="S12" s="45" t="inlineStr">
        <is>
          <t>Giá kiểm định thành công hỗ trợ MA20 (5,845 đ) tạo Higher Low vững chắc, cung suy giảm.</t>
        </is>
      </c>
    </row>
    <row r="13" ht="23" customHeight="1">
      <c r="A13" s="46" t="n">
        <v>10</v>
      </c>
      <c r="B13" s="5" t="inlineStr">
        <is>
          <t>SHI</t>
        </is>
      </c>
      <c r="C13" s="46" t="inlineStr">
        <is>
          <t>HOSE</t>
        </is>
      </c>
      <c r="D13" s="41">
        <f>HYPERLINK("https://fireant.vn/dong-tien/bieu-do-ky-thuat/SHI", "📈 Mở Chart SHI")</f>
        <v/>
      </c>
      <c r="E13" s="41">
        <f>HYPERLINK("https://vn.tradingview.com/chart/?symbol=HOSE:SHI", "📊 TradingView SHI")</f>
        <v/>
      </c>
      <c r="F13" s="46" t="inlineStr">
        <is>
          <t>Thành viên</t>
        </is>
      </c>
      <c r="G13" s="42" t="inlineStr">
        <is>
          <t>Pullback Test Hỗ Trợ (HL)</t>
        </is>
      </c>
      <c r="H13" s="48" t="n">
        <v>14450</v>
      </c>
      <c r="I13" s="48" t="n">
        <v>13860</v>
      </c>
      <c r="J13" s="48" t="n">
        <v>16180</v>
      </c>
      <c r="K13" s="46" t="inlineStr">
        <is>
          <t>1 : 2.93</t>
        </is>
      </c>
      <c r="L13" s="46" t="n">
        <v>60.9</v>
      </c>
      <c r="M13" s="49" t="n">
        <v>233705</v>
      </c>
      <c r="N13" s="49" t="n">
        <v>233100</v>
      </c>
      <c r="O13" s="46" t="inlineStr">
        <is>
          <t>0% TB20</t>
        </is>
      </c>
      <c r="P13" s="50" t="inlineStr">
        <is>
          <t>Tài nguyên Cơ bản</t>
        </is>
      </c>
      <c r="Q13" s="11" t="inlineStr">
        <is>
          <t>Hàng năm</t>
        </is>
      </c>
      <c r="R13" s="12" t="inlineStr">
        <is>
          <t>Có</t>
        </is>
      </c>
      <c r="S13" s="50" t="inlineStr">
        <is>
          <t>Giá kiểm định thành công hỗ trợ MA20 (14,288 đ) tạo Higher Low vững chắc, cung suy giảm.</t>
        </is>
      </c>
    </row>
    <row r="14" ht="23" customHeight="1">
      <c r="A14" s="40" t="n">
        <v>11</v>
      </c>
      <c r="B14" s="12" t="inlineStr">
        <is>
          <t>PCH</t>
        </is>
      </c>
      <c r="C14" s="40" t="inlineStr">
        <is>
          <t>HNX</t>
        </is>
      </c>
      <c r="D14" s="41">
        <f>HYPERLINK("https://fireant.vn/dong-tien/bieu-do-ky-thuat/PCH", "📈 Mở Chart PCH")</f>
        <v/>
      </c>
      <c r="E14" s="41">
        <f>HYPERLINK("https://vn.tradingview.com/chart/?symbol=HNX:PCH", "📊 TradingView PCH")</f>
        <v/>
      </c>
      <c r="F14" s="40" t="inlineStr">
        <is>
          <t>Thành viên</t>
        </is>
      </c>
      <c r="G14" s="42" t="inlineStr">
        <is>
          <t>Pullback Test Hỗ Trợ (HL)</t>
        </is>
      </c>
      <c r="H14" s="43" t="n">
        <v>18500</v>
      </c>
      <c r="I14" s="43" t="n">
        <v>17640</v>
      </c>
      <c r="J14" s="43" t="n">
        <v>20720</v>
      </c>
      <c r="K14" s="40" t="inlineStr">
        <is>
          <t>1 : 2.58</t>
        </is>
      </c>
      <c r="L14" s="40" t="n">
        <v>53.8</v>
      </c>
      <c r="M14" s="44" t="n">
        <v>108450</v>
      </c>
      <c r="N14" s="44" t="n">
        <v>90800</v>
      </c>
      <c r="O14" s="40" t="inlineStr">
        <is>
          <t>-16% TB20</t>
        </is>
      </c>
      <c r="P14" s="45" t="inlineStr">
        <is>
          <t>Hóa chất</t>
        </is>
      </c>
      <c r="Q14" s="40" t="inlineStr">
        <is>
          <t>Không</t>
        </is>
      </c>
      <c r="R14" s="12" t="inlineStr">
        <is>
          <t>Có</t>
        </is>
      </c>
      <c r="S14" s="45" t="inlineStr">
        <is>
          <t>Giá kiểm định thành công hỗ trợ MA20 (18,325 đ) tạo Higher Low vững chắc, cung suy giảm.</t>
        </is>
      </c>
    </row>
    <row r="15" ht="23" customHeight="1">
      <c r="A15" s="46" t="n">
        <v>12</v>
      </c>
      <c r="B15" s="5" t="inlineStr">
        <is>
          <t>DHC</t>
        </is>
      </c>
      <c r="C15" s="46" t="inlineStr">
        <is>
          <t>HOSE</t>
        </is>
      </c>
      <c r="D15" s="41">
        <f>HYPERLINK("https://fireant.vn/dong-tien/bieu-do-ky-thuat/DHC", "📈 Mở Chart DHC")</f>
        <v/>
      </c>
      <c r="E15" s="41">
        <f>HYPERLINK("https://vn.tradingview.com/chart/?symbol=HOSE:DHC", "📊 TradingView DHC")</f>
        <v/>
      </c>
      <c r="F15" s="46" t="inlineStr">
        <is>
          <t>Thành viên</t>
        </is>
      </c>
      <c r="G15" s="42" t="inlineStr">
        <is>
          <t>Pullback Test Hỗ Trợ (HL)</t>
        </is>
      </c>
      <c r="H15" s="48" t="n">
        <v>36550</v>
      </c>
      <c r="I15" s="48" t="n">
        <v>34740</v>
      </c>
      <c r="J15" s="48" t="n">
        <v>40940</v>
      </c>
      <c r="K15" s="46" t="inlineStr">
        <is>
          <t>1 : 2.43</t>
        </is>
      </c>
      <c r="L15" s="46" t="n">
        <v>52.1</v>
      </c>
      <c r="M15" s="49" t="n">
        <v>427140</v>
      </c>
      <c r="N15" s="49" t="n">
        <v>260100</v>
      </c>
      <c r="O15" s="46" t="inlineStr">
        <is>
          <t>-39% TB20</t>
        </is>
      </c>
      <c r="P15" s="50" t="inlineStr">
        <is>
          <t>Tài nguyên Cơ bản</t>
        </is>
      </c>
      <c r="Q15" s="11" t="inlineStr">
        <is>
          <t>Hàng năm</t>
        </is>
      </c>
      <c r="R15" s="12" t="inlineStr">
        <is>
          <t>Có</t>
        </is>
      </c>
      <c r="S15" s="50" t="inlineStr">
        <is>
          <t>Giá kiểm định thành công hỗ trợ MA20 (36,268 đ) tạo Higher Low vững chắc, cung suy giảm.</t>
        </is>
      </c>
    </row>
    <row r="16" ht="23" customHeight="1">
      <c r="A16" s="40" t="n">
        <v>13</v>
      </c>
      <c r="B16" s="5" t="inlineStr">
        <is>
          <t>SAM</t>
        </is>
      </c>
      <c r="C16" s="40" t="inlineStr">
        <is>
          <t>HOSE</t>
        </is>
      </c>
      <c r="D16" s="41">
        <f>HYPERLINK("https://fireant.vn/dong-tien/bieu-do-ky-thuat/SAM", "📈 Mở Chart SAM")</f>
        <v/>
      </c>
      <c r="E16" s="41">
        <f>HYPERLINK("https://vn.tradingview.com/chart/?symbol=HOSE:SAM", "📊 TradingView SAM")</f>
        <v/>
      </c>
      <c r="F16" s="40" t="inlineStr">
        <is>
          <t>Thành viên</t>
        </is>
      </c>
      <c r="G16" s="42" t="inlineStr">
        <is>
          <t>Pullback Test Hỗ Trợ (HL)</t>
        </is>
      </c>
      <c r="H16" s="43" t="n">
        <v>6200</v>
      </c>
      <c r="I16" s="43" t="n">
        <v>5880</v>
      </c>
      <c r="J16" s="43" t="n">
        <v>6940</v>
      </c>
      <c r="K16" s="40" t="inlineStr">
        <is>
          <t>1 : 2.31</t>
        </is>
      </c>
      <c r="L16" s="40" t="n">
        <v>50</v>
      </c>
      <c r="M16" s="44" t="n">
        <v>93120</v>
      </c>
      <c r="N16" s="44" t="n">
        <v>42200</v>
      </c>
      <c r="O16" s="40" t="inlineStr">
        <is>
          <t>-55% TB20</t>
        </is>
      </c>
      <c r="P16" s="45" t="inlineStr">
        <is>
          <t>Công nghệ Thông tin</t>
        </is>
      </c>
      <c r="Q16" s="11" t="inlineStr">
        <is>
          <t>Hàng năm</t>
        </is>
      </c>
      <c r="R16" s="12" t="inlineStr">
        <is>
          <t>Có</t>
        </is>
      </c>
      <c r="S16" s="45" t="inlineStr">
        <is>
          <t>Giá kiểm định thành công hỗ trợ MA20 (6,096 đ) tạo Higher Low vững chắc, cung suy giảm.</t>
        </is>
      </c>
    </row>
    <row r="17" ht="23" customHeight="1">
      <c r="A17" s="46" t="n">
        <v>14</v>
      </c>
      <c r="B17" s="5" t="inlineStr">
        <is>
          <t>VIB</t>
        </is>
      </c>
      <c r="C17" s="46" t="inlineStr">
        <is>
          <t>HOSE</t>
        </is>
      </c>
      <c r="D17" s="41">
        <f>HYPERLINK("https://fireant.vn/dong-tien/bieu-do-ky-thuat/VIB", "📈 Mở Chart VIB")</f>
        <v/>
      </c>
      <c r="E17" s="41">
        <f>HYPERLINK("https://vn.tradingview.com/chart/?symbol=HOSE:VIB", "📊 TradingView VIB")</f>
        <v/>
      </c>
      <c r="F17" s="46" t="inlineStr">
        <is>
          <t>Thành viên</t>
        </is>
      </c>
      <c r="G17" s="42" t="inlineStr">
        <is>
          <t>Pullback Test Hỗ Trợ (HL)</t>
        </is>
      </c>
      <c r="H17" s="48" t="n">
        <v>13600</v>
      </c>
      <c r="I17" s="48" t="n">
        <v>12890</v>
      </c>
      <c r="J17" s="48" t="n">
        <v>15230</v>
      </c>
      <c r="K17" s="46" t="inlineStr">
        <is>
          <t>1 : 2.3</t>
        </is>
      </c>
      <c r="L17" s="46" t="n">
        <v>55.7</v>
      </c>
      <c r="M17" s="49" t="n">
        <v>4838200</v>
      </c>
      <c r="N17" s="49" t="n">
        <v>4222400</v>
      </c>
      <c r="O17" s="46" t="inlineStr">
        <is>
          <t>-13% TB20</t>
        </is>
      </c>
      <c r="P17" s="50" t="inlineStr">
        <is>
          <t>Ngân hàng</t>
        </is>
      </c>
      <c r="Q17" s="11" t="inlineStr">
        <is>
          <t>Hàng năm</t>
        </is>
      </c>
      <c r="R17" s="12" t="inlineStr">
        <is>
          <t>Có</t>
        </is>
      </c>
      <c r="S17" s="50" t="inlineStr">
        <is>
          <t>Giá kiểm định thành công hỗ trợ MA20 (13,494 đ) tạo Higher Low vững chắc, cung suy giảm.</t>
        </is>
      </c>
    </row>
    <row r="18" ht="23" customHeight="1">
      <c r="A18" s="40" t="n">
        <v>15</v>
      </c>
      <c r="B18" s="12" t="inlineStr">
        <is>
          <t>VAB</t>
        </is>
      </c>
      <c r="C18" s="40" t="inlineStr">
        <is>
          <t>HOSE</t>
        </is>
      </c>
      <c r="D18" s="41">
        <f>HYPERLINK("https://fireant.vn/dong-tien/bieu-do-ky-thuat/VAB", "📈 Mở Chart VAB")</f>
        <v/>
      </c>
      <c r="E18" s="41">
        <f>HYPERLINK("https://vn.tradingview.com/chart/?symbol=HOSE:VAB", "📊 TradingView VAB")</f>
        <v/>
      </c>
      <c r="F18" s="40" t="inlineStr">
        <is>
          <t>Thành viên</t>
        </is>
      </c>
      <c r="G18" s="42" t="inlineStr">
        <is>
          <t>Pullback Test Hỗ Trợ (HL)</t>
        </is>
      </c>
      <c r="H18" s="43" t="n">
        <v>9250</v>
      </c>
      <c r="I18" s="43" t="n">
        <v>8730</v>
      </c>
      <c r="J18" s="43" t="n">
        <v>10360</v>
      </c>
      <c r="K18" s="40" t="inlineStr">
        <is>
          <t>1 : 2.13</t>
        </is>
      </c>
      <c r="L18" s="40" t="n">
        <v>50.9</v>
      </c>
      <c r="M18" s="44" t="n">
        <v>502640</v>
      </c>
      <c r="N18" s="44" t="n">
        <v>1709600</v>
      </c>
      <c r="O18" s="40" t="inlineStr">
        <is>
          <t>+240% TB20</t>
        </is>
      </c>
      <c r="P18" s="45" t="inlineStr">
        <is>
          <t>Ngân hàng</t>
        </is>
      </c>
      <c r="Q18" s="40" t="inlineStr">
        <is>
          <t>Không</t>
        </is>
      </c>
      <c r="R18" s="12" t="inlineStr">
        <is>
          <t>Có</t>
        </is>
      </c>
      <c r="S18" s="45" t="inlineStr">
        <is>
          <t>Giá kiểm định thành công hỗ trợ MA20 (9,108 đ) tạo Higher Low vững chắc, cung suy giảm.</t>
        </is>
      </c>
    </row>
    <row r="19" ht="23" customHeight="1">
      <c r="A19" s="46" t="n">
        <v>16</v>
      </c>
      <c r="B19" s="12" t="inlineStr">
        <is>
          <t>ABB</t>
        </is>
      </c>
      <c r="C19" s="46" t="inlineStr">
        <is>
          <t>UPCOM</t>
        </is>
      </c>
      <c r="D19" s="41">
        <f>HYPERLINK("https://fireant.vn/dong-tien/bieu-do-ky-thuat/ABB", "📈 Mở Chart ABB")</f>
        <v/>
      </c>
      <c r="E19" s="41">
        <f>HYPERLINK("https://vn.tradingview.com/chart/?symbol=UPCOM:ABB", "📊 TradingView ABB")</f>
        <v/>
      </c>
      <c r="F19" s="46" t="inlineStr">
        <is>
          <t>Thành viên</t>
        </is>
      </c>
      <c r="G19" s="47" t="inlineStr">
        <is>
          <t>Breakout Nền / BOS</t>
        </is>
      </c>
      <c r="H19" s="48" t="n">
        <v>17900</v>
      </c>
      <c r="I19" s="48" t="n">
        <v>16530</v>
      </c>
      <c r="J19" s="48" t="n">
        <v>20580</v>
      </c>
      <c r="K19" s="46" t="inlineStr">
        <is>
          <t>1 : 1.96</t>
        </is>
      </c>
      <c r="L19" s="46" t="n">
        <v>73.3</v>
      </c>
      <c r="M19" s="49" t="n">
        <v>913110</v>
      </c>
      <c r="N19" s="49" t="n">
        <v>2238900</v>
      </c>
      <c r="O19" s="46" t="inlineStr">
        <is>
          <t>+145% TB20</t>
        </is>
      </c>
      <c r="P19" s="50" t="inlineStr">
        <is>
          <t>Ngân hàng</t>
        </is>
      </c>
      <c r="Q19" s="46" t="inlineStr">
        <is>
          <t>Không</t>
        </is>
      </c>
      <c r="R19" s="12" t="inlineStr">
        <is>
          <t>Có</t>
        </is>
      </c>
      <c r="S19" s="50" t="inlineStr">
        <is>
          <t>Giá bứt phá vượt đỉnh kháng cự 20 phiên (17,400 đ) kèm khối lượng đột biến (+145% so với TB20).</t>
        </is>
      </c>
    </row>
    <row r="20" ht="23" customHeight="1">
      <c r="A20" s="40" t="n">
        <v>17</v>
      </c>
      <c r="B20" s="11" t="inlineStr">
        <is>
          <t>DGT</t>
        </is>
      </c>
      <c r="C20" s="40" t="inlineStr">
        <is>
          <t>UPCOM</t>
        </is>
      </c>
      <c r="D20" s="41">
        <f>HYPERLINK("https://fireant.vn/dong-tien/bieu-do-ky-thuat/DGT", "📈 Mở Chart DGT")</f>
        <v/>
      </c>
      <c r="E20" s="41">
        <f>HYPERLINK("https://vn.tradingview.com/chart/?symbol=UPCOM:DGT", "📊 TradingView DGT")</f>
        <v/>
      </c>
      <c r="F20" s="40" t="inlineStr">
        <is>
          <t>Thành viên</t>
        </is>
      </c>
      <c r="G20" s="42" t="inlineStr">
        <is>
          <t>Pullback Test Hỗ Trợ (HL)</t>
        </is>
      </c>
      <c r="H20" s="43" t="n">
        <v>3900</v>
      </c>
      <c r="I20" s="43" t="n">
        <v>3530</v>
      </c>
      <c r="J20" s="43" t="n">
        <v>4620</v>
      </c>
      <c r="K20" s="40" t="inlineStr">
        <is>
          <t>1 : 1.95</t>
        </is>
      </c>
      <c r="L20" s="40" t="n">
        <v>54.5</v>
      </c>
      <c r="M20" s="44" t="n">
        <v>68685</v>
      </c>
      <c r="N20" s="44" t="n">
        <v>115400</v>
      </c>
      <c r="O20" s="40" t="inlineStr">
        <is>
          <t>+68% TB20</t>
        </is>
      </c>
      <c r="P20" s="45" t="inlineStr">
        <is>
          <t>Xây dựng và Vật liệu</t>
        </is>
      </c>
      <c r="Q20" s="11" t="inlineStr">
        <is>
          <t>Hàng năm</t>
        </is>
      </c>
      <c r="R20" s="40" t="inlineStr">
        <is>
          <t>Không</t>
        </is>
      </c>
      <c r="S20" s="45" t="inlineStr">
        <is>
          <t>Giá kiểm định thành công hỗ trợ MA20 (3,765 đ) tạo Higher Low vững chắc, cung suy giảm.</t>
        </is>
      </c>
    </row>
    <row r="21" ht="23" customHeight="1">
      <c r="A21" s="46" t="n">
        <v>18</v>
      </c>
      <c r="B21" s="5" t="inlineStr">
        <is>
          <t>SBT</t>
        </is>
      </c>
      <c r="C21" s="46" t="inlineStr">
        <is>
          <t>HOSE</t>
        </is>
      </c>
      <c r="D21" s="41">
        <f>HYPERLINK("https://fireant.vn/dong-tien/bieu-do-ky-thuat/SBT", "📈 Mở Chart SBT")</f>
        <v/>
      </c>
      <c r="E21" s="41">
        <f>HYPERLINK("https://vn.tradingview.com/chart/?symbol=HOSE:SBT", "📊 TradingView SBT")</f>
        <v/>
      </c>
      <c r="F21" s="46" t="inlineStr">
        <is>
          <t>Thành viên</t>
        </is>
      </c>
      <c r="G21" s="42" t="inlineStr">
        <is>
          <t>Đảo Chiều Đáy / ChoCH</t>
        </is>
      </c>
      <c r="H21" s="48" t="n">
        <v>23200</v>
      </c>
      <c r="I21" s="48" t="n">
        <v>22000</v>
      </c>
      <c r="J21" s="48" t="n">
        <v>25520</v>
      </c>
      <c r="K21" s="46" t="inlineStr">
        <is>
          <t>1 : 1.93</t>
        </is>
      </c>
      <c r="L21" s="46" t="n">
        <v>61.5</v>
      </c>
      <c r="M21" s="49" t="n">
        <v>1247300</v>
      </c>
      <c r="N21" s="49" t="n">
        <v>1783600</v>
      </c>
      <c r="O21" s="46" t="inlineStr">
        <is>
          <t>+43% TB20</t>
        </is>
      </c>
      <c r="P21" s="50" t="inlineStr">
        <is>
          <t>Thực phẩm và đồ uống</t>
        </is>
      </c>
      <c r="Q21" s="11" t="inlineStr">
        <is>
          <t>Hàng năm</t>
        </is>
      </c>
      <c r="R21" s="12" t="inlineStr">
        <is>
          <t>Có</t>
        </is>
      </c>
      <c r="S21" s="50" t="inlineStr">
        <is>
          <t>Giá cắt lên trên MA20 (23,165 đ) với nến tăng xác nhận ChoCH đảo chiều xu hướng.</t>
        </is>
      </c>
    </row>
    <row r="22" ht="23" customHeight="1">
      <c r="A22" s="40" t="n">
        <v>19</v>
      </c>
      <c r="B22" s="12" t="inlineStr">
        <is>
          <t>KLB</t>
        </is>
      </c>
      <c r="C22" s="40" t="inlineStr">
        <is>
          <t>HOSE</t>
        </is>
      </c>
      <c r="D22" s="41">
        <f>HYPERLINK("https://fireant.vn/dong-tien/bieu-do-ky-thuat/KLB", "📈 Mở Chart KLB")</f>
        <v/>
      </c>
      <c r="E22" s="41">
        <f>HYPERLINK("https://vn.tradingview.com/chart/?symbol=HOSE:KLB", "📊 TradingView KLB")</f>
        <v/>
      </c>
      <c r="F22" s="40" t="inlineStr">
        <is>
          <t>Thành viên</t>
        </is>
      </c>
      <c r="G22" s="47" t="inlineStr">
        <is>
          <t>Breakout Nền / BOS</t>
        </is>
      </c>
      <c r="H22" s="43" t="n">
        <v>12800</v>
      </c>
      <c r="I22" s="43" t="n">
        <v>11800</v>
      </c>
      <c r="J22" s="43" t="n">
        <v>14720</v>
      </c>
      <c r="K22" s="40" t="inlineStr">
        <is>
          <t>1 : 1.92</t>
        </is>
      </c>
      <c r="L22" s="40" t="n">
        <v>60</v>
      </c>
      <c r="M22" s="44" t="n">
        <v>288970</v>
      </c>
      <c r="N22" s="44" t="n">
        <v>1423100</v>
      </c>
      <c r="O22" s="40" t="inlineStr">
        <is>
          <t>+392% TB20</t>
        </is>
      </c>
      <c r="P22" s="45" t="inlineStr">
        <is>
          <t>Ngân hàng</t>
        </is>
      </c>
      <c r="Q22" s="40" t="inlineStr">
        <is>
          <t>Không</t>
        </is>
      </c>
      <c r="R22" s="12" t="inlineStr">
        <is>
          <t>Có</t>
        </is>
      </c>
      <c r="S22" s="45" t="inlineStr">
        <is>
          <t>Giá bứt phá vượt đỉnh kháng cự 20 phiên (12,650 đ) kèm khối lượng đột biến (+392% so với TB20).</t>
        </is>
      </c>
    </row>
    <row r="23" ht="23" customHeight="1">
      <c r="A23" s="46" t="n">
        <v>20</v>
      </c>
      <c r="B23" s="11" t="inlineStr">
        <is>
          <t>PVB</t>
        </is>
      </c>
      <c r="C23" s="46" t="inlineStr">
        <is>
          <t>HNX</t>
        </is>
      </c>
      <c r="D23" s="41">
        <f>HYPERLINK("https://fireant.vn/dong-tien/bieu-do-ky-thuat/PVB", "📈 Mở Chart PVB")</f>
        <v/>
      </c>
      <c r="E23" s="41">
        <f>HYPERLINK("https://vn.tradingview.com/chart/?symbol=HNX:PVB", "📊 TradingView PVB")</f>
        <v/>
      </c>
      <c r="F23" s="46" t="inlineStr">
        <is>
          <t>Thành viên</t>
        </is>
      </c>
      <c r="G23" s="42" t="inlineStr">
        <is>
          <t>Pullback Test Hỗ Trợ (HL)</t>
        </is>
      </c>
      <c r="H23" s="48" t="n">
        <v>22500</v>
      </c>
      <c r="I23" s="48" t="n">
        <v>21070</v>
      </c>
      <c r="J23" s="48" t="n">
        <v>25200</v>
      </c>
      <c r="K23" s="46" t="inlineStr">
        <is>
          <t>1 : 1.89</t>
        </is>
      </c>
      <c r="L23" s="46" t="n">
        <v>54.5</v>
      </c>
      <c r="M23" s="49" t="n">
        <v>97990</v>
      </c>
      <c r="N23" s="49" t="n">
        <v>85200</v>
      </c>
      <c r="O23" s="46" t="inlineStr">
        <is>
          <t>-13% TB20</t>
        </is>
      </c>
      <c r="P23" s="50" t="inlineStr">
        <is>
          <t>Dầu khí</t>
        </is>
      </c>
      <c r="Q23" s="11" t="inlineStr">
        <is>
          <t>Hàng năm</t>
        </is>
      </c>
      <c r="R23" s="46" t="inlineStr">
        <is>
          <t>Không</t>
        </is>
      </c>
      <c r="S23" s="50" t="inlineStr">
        <is>
          <t>Giá kiểm định thành công hỗ trợ MA20 (21,965 đ) tạo Higher Low vững chắc, cung suy giảm.</t>
        </is>
      </c>
    </row>
    <row r="24" ht="23" customHeight="1">
      <c r="A24" s="40" t="n">
        <v>21</v>
      </c>
      <c r="B24" s="5" t="inlineStr">
        <is>
          <t>PVC</t>
        </is>
      </c>
      <c r="C24" s="40" t="inlineStr">
        <is>
          <t>HNX</t>
        </is>
      </c>
      <c r="D24" s="41">
        <f>HYPERLINK("https://fireant.vn/dong-tien/bieu-do-ky-thuat/PVC", "📈 Mở Chart PVC")</f>
        <v/>
      </c>
      <c r="E24" s="41">
        <f>HYPERLINK("https://vn.tradingview.com/chart/?symbol=HNX:PVC", "📊 TradingView PVC")</f>
        <v/>
      </c>
      <c r="F24" s="40" t="inlineStr">
        <is>
          <t>Thành viên</t>
        </is>
      </c>
      <c r="G24" s="42" t="inlineStr">
        <is>
          <t>Pullback Test Hỗ Trợ (HL)</t>
        </is>
      </c>
      <c r="H24" s="43" t="n">
        <v>12700</v>
      </c>
      <c r="I24" s="43" t="n">
        <v>11660</v>
      </c>
      <c r="J24" s="43" t="n">
        <v>14600</v>
      </c>
      <c r="K24" s="40" t="inlineStr">
        <is>
          <t>1 : 1.83</t>
        </is>
      </c>
      <c r="L24" s="40" t="n">
        <v>54.8</v>
      </c>
      <c r="M24" s="44" t="n">
        <v>704990</v>
      </c>
      <c r="N24" s="44" t="n">
        <v>906800</v>
      </c>
      <c r="O24" s="40" t="inlineStr">
        <is>
          <t>+29% TB20</t>
        </is>
      </c>
      <c r="P24" s="45" t="inlineStr">
        <is>
          <t>Dầu khí</t>
        </is>
      </c>
      <c r="Q24" s="11" t="inlineStr">
        <is>
          <t>Hàng năm</t>
        </is>
      </c>
      <c r="R24" s="12" t="inlineStr">
        <is>
          <t>Có</t>
        </is>
      </c>
      <c r="S24" s="45" t="inlineStr">
        <is>
          <t>Giá kiểm định thành công hỗ trợ MA20 (12,335 đ) tạo Higher Low vững chắc, cung suy giảm.</t>
        </is>
      </c>
    </row>
    <row r="25" ht="23" customHeight="1">
      <c r="A25" s="46" t="n">
        <v>22</v>
      </c>
      <c r="B25" s="12" t="inlineStr">
        <is>
          <t>PIV</t>
        </is>
      </c>
      <c r="C25" s="46" t="inlineStr">
        <is>
          <t>UPCOM</t>
        </is>
      </c>
      <c r="D25" s="41">
        <f>HYPERLINK("https://fireant.vn/dong-tien/bieu-do-ky-thuat/PIV", "📈 Mở Chart PIV")</f>
        <v/>
      </c>
      <c r="E25" s="41">
        <f>HYPERLINK("https://vn.tradingview.com/chart/?symbol=UPCOM:PIV", "📊 TradingView PIV")</f>
        <v/>
      </c>
      <c r="F25" s="46" t="inlineStr">
        <is>
          <t>Thành viên</t>
        </is>
      </c>
      <c r="G25" s="47" t="inlineStr">
        <is>
          <t>Breakout Nền / BOS</t>
        </is>
      </c>
      <c r="H25" s="48" t="n">
        <v>6800</v>
      </c>
      <c r="I25" s="48" t="n">
        <v>6200</v>
      </c>
      <c r="J25" s="48" t="n">
        <v>7820</v>
      </c>
      <c r="K25" s="46" t="inlineStr">
        <is>
          <t>1 : 1.7</t>
        </is>
      </c>
      <c r="L25" s="46" t="n">
        <v>63.6</v>
      </c>
      <c r="M25" s="49" t="n">
        <v>59555</v>
      </c>
      <c r="N25" s="49" t="n">
        <v>170800</v>
      </c>
      <c r="O25" s="46" t="inlineStr">
        <is>
          <t>+187% TB20</t>
        </is>
      </c>
      <c r="P25" s="50" t="inlineStr">
        <is>
          <t>Bất động sản</t>
        </is>
      </c>
      <c r="Q25" s="46" t="inlineStr">
        <is>
          <t>Không</t>
        </is>
      </c>
      <c r="R25" s="12" t="inlineStr">
        <is>
          <t>Có</t>
        </is>
      </c>
      <c r="S25" s="50" t="inlineStr">
        <is>
          <t>Giá bứt phá vượt đỉnh kháng cự 20 phiên (6,700 đ) kèm khối lượng đột biến (+187% so với TB20).</t>
        </is>
      </c>
    </row>
    <row r="26" ht="23" customHeight="1">
      <c r="A26" s="40" t="n">
        <v>23</v>
      </c>
      <c r="B26" s="11" t="inlineStr">
        <is>
          <t>DRI</t>
        </is>
      </c>
      <c r="C26" s="40" t="inlineStr">
        <is>
          <t>UPCOM</t>
        </is>
      </c>
      <c r="D26" s="41">
        <f>HYPERLINK("https://fireant.vn/dong-tien/bieu-do-ky-thuat/DRI", "📈 Mở Chart DRI")</f>
        <v/>
      </c>
      <c r="E26" s="41">
        <f>HYPERLINK("https://vn.tradingview.com/chart/?symbol=UPCOM:DRI", "📊 TradingView DRI")</f>
        <v/>
      </c>
      <c r="F26" s="40" t="inlineStr">
        <is>
          <t>Thành viên</t>
        </is>
      </c>
      <c r="G26" s="42" t="inlineStr">
        <is>
          <t>Pullback Test Hỗ Trợ (HL)</t>
        </is>
      </c>
      <c r="H26" s="43" t="n">
        <v>14800</v>
      </c>
      <c r="I26" s="43" t="n">
        <v>13720</v>
      </c>
      <c r="J26" s="43" t="n">
        <v>16580</v>
      </c>
      <c r="K26" s="40" t="inlineStr">
        <is>
          <t>1 : 1.65</t>
        </is>
      </c>
      <c r="L26" s="40" t="n">
        <v>63</v>
      </c>
      <c r="M26" s="44" t="n">
        <v>736365</v>
      </c>
      <c r="N26" s="44" t="n">
        <v>742800</v>
      </c>
      <c r="O26" s="40" t="inlineStr">
        <is>
          <t>+1% TB20</t>
        </is>
      </c>
      <c r="P26" s="45" t="inlineStr">
        <is>
          <t>Hóa chất</t>
        </is>
      </c>
      <c r="Q26" s="11" t="inlineStr">
        <is>
          <t>Hàng năm</t>
        </is>
      </c>
      <c r="R26" s="40" t="inlineStr">
        <is>
          <t>Không</t>
        </is>
      </c>
      <c r="S26" s="45" t="inlineStr">
        <is>
          <t>Giá kiểm định thành công hỗ trợ MA20 (14,310 đ) tạo Higher Low vững chắc, cung suy giảm.</t>
        </is>
      </c>
    </row>
    <row r="27" ht="23" customHeight="1">
      <c r="A27" s="46" t="n">
        <v>24</v>
      </c>
      <c r="B27" s="5" t="inlineStr">
        <is>
          <t>TLG</t>
        </is>
      </c>
      <c r="C27" s="46" t="inlineStr">
        <is>
          <t>HOSE</t>
        </is>
      </c>
      <c r="D27" s="41">
        <f>HYPERLINK("https://fireant.vn/dong-tien/bieu-do-ky-thuat/TLG", "📈 Mở Chart TLG")</f>
        <v/>
      </c>
      <c r="E27" s="41">
        <f>HYPERLINK("https://vn.tradingview.com/chart/?symbol=HOSE:TLG", "📊 TradingView TLG")</f>
        <v/>
      </c>
      <c r="F27" s="46" t="inlineStr">
        <is>
          <t>Thành viên</t>
        </is>
      </c>
      <c r="G27" s="47" t="inlineStr">
        <is>
          <t>Breakout Nền / BOS</t>
        </is>
      </c>
      <c r="H27" s="48" t="n">
        <v>54300</v>
      </c>
      <c r="I27" s="48" t="n">
        <v>49100</v>
      </c>
      <c r="J27" s="48" t="n">
        <v>62440</v>
      </c>
      <c r="K27" s="46" t="inlineStr">
        <is>
          <t>1 : 1.57</t>
        </is>
      </c>
      <c r="L27" s="46" t="n">
        <v>62.1</v>
      </c>
      <c r="M27" s="49" t="n">
        <v>158740</v>
      </c>
      <c r="N27" s="49" t="n">
        <v>425200</v>
      </c>
      <c r="O27" s="46" t="inlineStr">
        <is>
          <t>+168% TB20</t>
        </is>
      </c>
      <c r="P27" s="50" t="inlineStr">
        <is>
          <t>Hàng cá nhân &amp; Gia dụng</t>
        </is>
      </c>
      <c r="Q27" s="11" t="inlineStr">
        <is>
          <t>Hàng năm</t>
        </is>
      </c>
      <c r="R27" s="12" t="inlineStr">
        <is>
          <t>Có</t>
        </is>
      </c>
      <c r="S27" s="50" t="inlineStr">
        <is>
          <t>Giá bứt phá vượt đỉnh kháng cự 20 phiên (53,900 đ) kèm khối lượng đột biến (+168% so với TB20).</t>
        </is>
      </c>
    </row>
    <row r="28" ht="23" customHeight="1">
      <c r="A28" s="40" t="n">
        <v>25</v>
      </c>
      <c r="B28" s="12" t="inlineStr">
        <is>
          <t>TDP</t>
        </is>
      </c>
      <c r="C28" s="40" t="inlineStr">
        <is>
          <t>HOSE</t>
        </is>
      </c>
      <c r="D28" s="41">
        <f>HYPERLINK("https://fireant.vn/dong-tien/bieu-do-ky-thuat/TDP", "📈 Mở Chart TDP")</f>
        <v/>
      </c>
      <c r="E28" s="41">
        <f>HYPERLINK("https://vn.tradingview.com/chart/?symbol=HOSE:TDP", "📊 TradingView TDP")</f>
        <v/>
      </c>
      <c r="F28" s="40" t="inlineStr">
        <is>
          <t>Thành viên</t>
        </is>
      </c>
      <c r="G28" s="42" t="inlineStr">
        <is>
          <t>Pullback Test Hỗ Trợ (HL)</t>
        </is>
      </c>
      <c r="H28" s="43" t="n">
        <v>29800</v>
      </c>
      <c r="I28" s="43" t="n">
        <v>27240</v>
      </c>
      <c r="J28" s="43" t="n">
        <v>33380</v>
      </c>
      <c r="K28" s="40" t="inlineStr">
        <is>
          <t>1 : 1.4</t>
        </is>
      </c>
      <c r="L28" s="40" t="n">
        <v>58.1</v>
      </c>
      <c r="M28" s="44" t="n">
        <v>252270</v>
      </c>
      <c r="N28" s="44" t="n">
        <v>109000</v>
      </c>
      <c r="O28" s="40" t="inlineStr">
        <is>
          <t>-57% TB20</t>
        </is>
      </c>
      <c r="P28" s="45" t="inlineStr">
        <is>
          <t>Hàng &amp; Dịch vụ Công nghiệp</t>
        </is>
      </c>
      <c r="Q28" s="40" t="inlineStr">
        <is>
          <t>Không</t>
        </is>
      </c>
      <c r="R28" s="12" t="inlineStr">
        <is>
          <t>Có</t>
        </is>
      </c>
      <c r="S28" s="45" t="inlineStr">
        <is>
          <t>Giá kiểm định thành công hỗ trợ MA20 (29,528 đ) tạo Higher Low vững chắc, cung suy giảm.</t>
        </is>
      </c>
    </row>
    <row r="29" ht="23" customHeight="1">
      <c r="A29" s="46" t="n">
        <v>26</v>
      </c>
      <c r="B29" s="51" t="inlineStr">
        <is>
          <t>NVB</t>
        </is>
      </c>
      <c r="C29" s="46" t="inlineStr">
        <is>
          <t>HNX</t>
        </is>
      </c>
      <c r="D29" s="41">
        <f>HYPERLINK("https://fireant.vn/dong-tien/bieu-do-ky-thuat/NVB", "📈 Mở Chart NVB")</f>
        <v/>
      </c>
      <c r="E29" s="41">
        <f>HYPERLINK("https://vn.tradingview.com/chart/?symbol=HNX:NVB", "📊 TradingView NVB")</f>
        <v/>
      </c>
      <c r="F29" s="46" t="inlineStr">
        <is>
          <t>Thành viên</t>
        </is>
      </c>
      <c r="G29" s="47" t="inlineStr">
        <is>
          <t>Breakout Nền / BOS</t>
        </is>
      </c>
      <c r="H29" s="48" t="n">
        <v>12800</v>
      </c>
      <c r="I29" s="48" t="n">
        <v>11300</v>
      </c>
      <c r="J29" s="48" t="n">
        <v>14720</v>
      </c>
      <c r="K29" s="46" t="inlineStr">
        <is>
          <t>1 : 1.28</t>
        </is>
      </c>
      <c r="L29" s="46" t="n">
        <v>61.3</v>
      </c>
      <c r="M29" s="49" t="n">
        <v>540700</v>
      </c>
      <c r="N29" s="49" t="n">
        <v>2165400</v>
      </c>
      <c r="O29" s="46" t="inlineStr">
        <is>
          <t>+300% TB20</t>
        </is>
      </c>
      <c r="P29" s="50" t="inlineStr">
        <is>
          <t>Ngân hàng</t>
        </is>
      </c>
      <c r="Q29" s="46" t="inlineStr">
        <is>
          <t>Không</t>
        </is>
      </c>
      <c r="R29" s="46" t="inlineStr">
        <is>
          <t>Không</t>
        </is>
      </c>
      <c r="S29" s="50" t="inlineStr">
        <is>
          <t>Giá bứt phá vượt đỉnh kháng cự 20 phiên (12,700 đ) kèm khối lượng đột biến (+300% so với TB20).</t>
        </is>
      </c>
    </row>
    <row r="30" ht="23" customHeight="1">
      <c r="A30" s="40" t="n">
        <v>27</v>
      </c>
      <c r="B30" s="5" t="inlineStr">
        <is>
          <t>TRC</t>
        </is>
      </c>
      <c r="C30" s="40" t="inlineStr">
        <is>
          <t>HOSE</t>
        </is>
      </c>
      <c r="D30" s="41">
        <f>HYPERLINK("https://fireant.vn/dong-tien/bieu-do-ky-thuat/TRC", "📈 Mở Chart TRC")</f>
        <v/>
      </c>
      <c r="E30" s="41">
        <f>HYPERLINK("https://vn.tradingview.com/chart/?symbol=HOSE:TRC", "📊 TradingView TRC")</f>
        <v/>
      </c>
      <c r="F30" s="40" t="inlineStr">
        <is>
          <t>Thành viên</t>
        </is>
      </c>
      <c r="G30" s="42" t="inlineStr">
        <is>
          <t>Pullback Test Hỗ Trợ (HL)</t>
        </is>
      </c>
      <c r="H30" s="43" t="n">
        <v>21800</v>
      </c>
      <c r="I30" s="43" t="n">
        <v>19730</v>
      </c>
      <c r="J30" s="43" t="n">
        <v>24420</v>
      </c>
      <c r="K30" s="40" t="inlineStr">
        <is>
          <t>1 : 1.27</t>
        </is>
      </c>
      <c r="L30" s="40" t="n">
        <v>50.4</v>
      </c>
      <c r="M30" s="44" t="n">
        <v>179695</v>
      </c>
      <c r="N30" s="44" t="n">
        <v>115900</v>
      </c>
      <c r="O30" s="40" t="inlineStr">
        <is>
          <t>-36% TB20</t>
        </is>
      </c>
      <c r="P30" s="45" t="inlineStr">
        <is>
          <t>Hóa chất</t>
        </is>
      </c>
      <c r="Q30" s="11" t="inlineStr">
        <is>
          <t>Hàng năm</t>
        </is>
      </c>
      <c r="R30" s="12" t="inlineStr">
        <is>
          <t>Có</t>
        </is>
      </c>
      <c r="S30" s="45" t="inlineStr">
        <is>
          <t>Giá kiểm định thành công hỗ trợ MA20 (21,325 đ) tạo Higher Low vững chắc, cung suy giảm.</t>
        </is>
      </c>
    </row>
    <row r="31" ht="23" customHeight="1">
      <c r="A31" s="46" t="n">
        <v>28</v>
      </c>
      <c r="B31" s="5" t="inlineStr">
        <is>
          <t>HDA</t>
        </is>
      </c>
      <c r="C31" s="46" t="inlineStr">
        <is>
          <t>HNX</t>
        </is>
      </c>
      <c r="D31" s="41">
        <f>HYPERLINK("https://fireant.vn/dong-tien/bieu-do-ky-thuat/HDA", "📈 Mở Chart HDA")</f>
        <v/>
      </c>
      <c r="E31" s="41">
        <f>HYPERLINK("https://vn.tradingview.com/chart/?symbol=HNX:HDA", "📊 TradingView HDA")</f>
        <v/>
      </c>
      <c r="F31" s="46" t="inlineStr">
        <is>
          <t>Thành viên</t>
        </is>
      </c>
      <c r="G31" s="42" t="inlineStr">
        <is>
          <t>Pullback Test Hỗ Trợ (HL)</t>
        </is>
      </c>
      <c r="H31" s="48" t="n">
        <v>6700</v>
      </c>
      <c r="I31" s="48" t="n">
        <v>5980</v>
      </c>
      <c r="J31" s="48" t="n">
        <v>7500</v>
      </c>
      <c r="K31" s="46" t="inlineStr">
        <is>
          <t>1 : 1.11</t>
        </is>
      </c>
      <c r="L31" s="46" t="n">
        <v>50</v>
      </c>
      <c r="M31" s="49" t="n">
        <v>227550</v>
      </c>
      <c r="N31" s="49" t="n">
        <v>216100</v>
      </c>
      <c r="O31" s="46" t="inlineStr">
        <is>
          <t>-5% TB20</t>
        </is>
      </c>
      <c r="P31" s="50" t="inlineStr">
        <is>
          <t>Xây dựng và Vật liệu</t>
        </is>
      </c>
      <c r="Q31" s="11" t="inlineStr">
        <is>
          <t>Hàng năm</t>
        </is>
      </c>
      <c r="R31" s="12" t="inlineStr">
        <is>
          <t>Có</t>
        </is>
      </c>
      <c r="S31" s="50" t="inlineStr">
        <is>
          <t>Giá kiểm định thành công hỗ trợ MA20 (6,645 đ) tạo Higher Low vững chắc, cung suy giảm.</t>
        </is>
      </c>
    </row>
    <row r="32" ht="23" customHeight="1">
      <c r="A32" s="40" t="n">
        <v>29</v>
      </c>
      <c r="B32" s="5" t="inlineStr">
        <is>
          <t>NDN</t>
        </is>
      </c>
      <c r="C32" s="40" t="inlineStr">
        <is>
          <t>HNX</t>
        </is>
      </c>
      <c r="D32" s="41">
        <f>HYPERLINK("https://fireant.vn/dong-tien/bieu-do-ky-thuat/NDN", "📈 Mở Chart NDN")</f>
        <v/>
      </c>
      <c r="E32" s="41">
        <f>HYPERLINK("https://vn.tradingview.com/chart/?symbol=HNX:NDN", "📊 TradingView NDN")</f>
        <v/>
      </c>
      <c r="F32" s="40" t="inlineStr">
        <is>
          <t>Thành viên</t>
        </is>
      </c>
      <c r="G32" s="47" t="inlineStr">
        <is>
          <t>Breakout Nền / BOS</t>
        </is>
      </c>
      <c r="H32" s="43" t="n">
        <v>9000</v>
      </c>
      <c r="I32" s="43" t="n">
        <v>7600</v>
      </c>
      <c r="J32" s="43" t="n">
        <v>10350</v>
      </c>
      <c r="K32" s="40" t="inlineStr">
        <is>
          <t>1 : 0.96</t>
        </is>
      </c>
      <c r="L32" s="40" t="n">
        <v>58.3</v>
      </c>
      <c r="M32" s="44" t="n">
        <v>98145</v>
      </c>
      <c r="N32" s="44" t="n">
        <v>204900</v>
      </c>
      <c r="O32" s="40" t="inlineStr">
        <is>
          <t>+109% TB20</t>
        </is>
      </c>
      <c r="P32" s="45" t="inlineStr">
        <is>
          <t>Bất động sản</t>
        </is>
      </c>
      <c r="Q32" s="11" t="inlineStr">
        <is>
          <t>Hàng năm</t>
        </is>
      </c>
      <c r="R32" s="12" t="inlineStr">
        <is>
          <t>Có</t>
        </is>
      </c>
      <c r="S32" s="45" t="inlineStr">
        <is>
          <t>Giá bứt phá vượt đỉnh kháng cự 20 phiên (8,900 đ) kèm khối lượng đột biến (+109% so với TB20).</t>
        </is>
      </c>
    </row>
    <row r="33" ht="23" customHeight="1">
      <c r="A33" s="46" t="n">
        <v>30</v>
      </c>
      <c r="B33" s="12" t="inlineStr">
        <is>
          <t>SSB</t>
        </is>
      </c>
      <c r="C33" s="46" t="inlineStr">
        <is>
          <t>HOSE</t>
        </is>
      </c>
      <c r="D33" s="41">
        <f>HYPERLINK("https://fireant.vn/dong-tien/bieu-do-ky-thuat/SSB", "📈 Mở Chart SSB")</f>
        <v/>
      </c>
      <c r="E33" s="41">
        <f>HYPERLINK("https://vn.tradingview.com/chart/?symbol=HOSE:SSB", "📊 TradingView SSB")</f>
        <v/>
      </c>
      <c r="F33" s="46" t="inlineStr">
        <is>
          <t>Thành viên</t>
        </is>
      </c>
      <c r="G33" s="47" t="inlineStr">
        <is>
          <t>Breakout Nền / BOS</t>
        </is>
      </c>
      <c r="H33" s="48" t="n">
        <v>24100</v>
      </c>
      <c r="I33" s="48" t="n">
        <v>18500</v>
      </c>
      <c r="J33" s="48" t="n">
        <v>27710</v>
      </c>
      <c r="K33" s="46" t="inlineStr">
        <is>
          <t>1 : 0.64</t>
        </is>
      </c>
      <c r="L33" s="46" t="n">
        <v>89.3</v>
      </c>
      <c r="M33" s="49" t="n">
        <v>3596090</v>
      </c>
      <c r="N33" s="49" t="n">
        <v>11734500</v>
      </c>
      <c r="O33" s="46" t="inlineStr">
        <is>
          <t>+226% TB20</t>
        </is>
      </c>
      <c r="P33" s="50" t="inlineStr">
        <is>
          <t>Ngân hàng</t>
        </is>
      </c>
      <c r="Q33" s="46" t="inlineStr">
        <is>
          <t>Không</t>
        </is>
      </c>
      <c r="R33" s="12" t="inlineStr">
        <is>
          <t>Có</t>
        </is>
      </c>
      <c r="S33" s="50" t="inlineStr">
        <is>
          <t>Giá bứt phá vượt đỉnh kháng cự 20 phiên (22,350 đ) kèm khối lượng đột biến (+226% so với TB20).</t>
        </is>
      </c>
    </row>
    <row r="34" ht="23" customHeight="1">
      <c r="A34" s="40" t="n">
        <v>31</v>
      </c>
      <c r="B34" s="12" t="inlineStr">
        <is>
          <t>PIT</t>
        </is>
      </c>
      <c r="C34" s="40" t="inlineStr">
        <is>
          <t>HOSE</t>
        </is>
      </c>
      <c r="D34" s="41">
        <f>HYPERLINK("https://fireant.vn/dong-tien/bieu-do-ky-thuat/PIT", "📈 Mở Chart PIT")</f>
        <v/>
      </c>
      <c r="E34" s="41">
        <f>HYPERLINK("https://vn.tradingview.com/chart/?symbol=HOSE:PIT", "📊 TradingView PIT")</f>
        <v/>
      </c>
      <c r="F34" s="40" t="inlineStr">
        <is>
          <t>Thành viên</t>
        </is>
      </c>
      <c r="G34" s="47" t="inlineStr">
        <is>
          <t>Breakout Nền / BOS</t>
        </is>
      </c>
      <c r="H34" s="43" t="n">
        <v>11800</v>
      </c>
      <c r="I34" s="43" t="n">
        <v>8750</v>
      </c>
      <c r="J34" s="43" t="n">
        <v>13570</v>
      </c>
      <c r="K34" s="40" t="inlineStr">
        <is>
          <t>1 : 0.58</t>
        </is>
      </c>
      <c r="L34" s="40" t="n">
        <v>97.09999999999999</v>
      </c>
      <c r="M34" s="44" t="n">
        <v>178390</v>
      </c>
      <c r="N34" s="44" t="n">
        <v>3220700</v>
      </c>
      <c r="O34" s="40" t="inlineStr">
        <is>
          <t>+1705% TB20</t>
        </is>
      </c>
      <c r="P34" s="45" t="inlineStr">
        <is>
          <t>Bán lẻ</t>
        </is>
      </c>
      <c r="Q34" s="40" t="inlineStr">
        <is>
          <t>Không</t>
        </is>
      </c>
      <c r="R34" s="12" t="inlineStr">
        <is>
          <t>Có</t>
        </is>
      </c>
      <c r="S34" s="45" t="inlineStr">
        <is>
          <t>Giá bứt phá vượt đỉnh kháng cự 20 phiên (10,400 đ) kèm khối lượng đột biến (+1705% so với TB20).</t>
        </is>
      </c>
    </row>
  </sheetData>
  <autoFilter ref="A3:S34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6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38" customWidth="1" min="4" max="4"/>
    <col width="26" customWidth="1" min="5" max="5"/>
    <col width="22" customWidth="1" min="6" max="6"/>
    <col width="16" customWidth="1" min="7" max="7"/>
    <col width="22" customWidth="1" min="8" max="8"/>
    <col width="20" customWidth="1" min="9" max="9"/>
    <col width="24" customWidth="1" min="10" max="10"/>
    <col width="18" customWidth="1" min="11" max="11"/>
    <col width="18" customWidth="1" min="12" max="12"/>
    <col width="28" customWidth="1" min="13" max="13"/>
    <col width="28" customWidth="1" min="14" max="14"/>
    <col width="40" customWidth="1" min="15" max="15"/>
  </cols>
  <sheetData>
    <row r="1" ht="40" customHeight="1">
      <c r="A1" s="1" t="inlineStr">
        <is>
          <t>THỐNG KÊ CỔ PHIẾU 3 SÀN (HOSE, HNX, UPCOM) - TOÀN BỘ CỔ PHIẾU THỎA MÃN TIÊU CHÍ (KLGD BQ 20 PHIÊN &gt;= 50,000 CP)</t>
        </is>
      </c>
    </row>
    <row r="2" ht="24" customHeight="1">
      <c r="A2" s="2" t="inlineStr">
        <is>
          <t>Tiêu chí: Khối lượng giao dịch bình quân 20 phiên &gt;= 50,000 CP | Đánh dấu đầu ngành | Tô đậm xanh: Cổ tức tiền mặt hàng năm | Tô đậm đỏ: Cổ tức cổ phiếu</t>
        </is>
      </c>
    </row>
    <row r="3" ht="28" customHeight="1">
      <c r="A3" s="3" t="inlineStr">
        <is>
          <t>STT</t>
        </is>
      </c>
      <c r="B3" s="3" t="inlineStr">
        <is>
          <t>Mã CK</t>
        </is>
      </c>
      <c r="C3" s="3" t="inlineStr">
        <is>
          <t>Sàn GD</t>
        </is>
      </c>
      <c r="D3" s="3" t="inlineStr">
        <is>
          <t>Tên doanh nghiệp niêm yết</t>
        </is>
      </c>
      <c r="E3" s="3" t="inlineStr">
        <is>
          <t>Nhóm ngành (ICB Cấp 2)</t>
        </is>
      </c>
      <c r="F3" s="3" t="inlineStr">
        <is>
          <t>Ngành tổng quan (Cấp 1)</t>
        </is>
      </c>
      <c r="G3" s="3" t="inlineStr">
        <is>
          <t>Vị thế ngành</t>
        </is>
      </c>
      <c r="H3" s="3" t="inlineStr">
        <is>
          <t>KLGD BQ 20 phiên (CP)</t>
        </is>
      </c>
      <c r="I3" s="3" t="inlineStr">
        <is>
          <t>Thị giá gần nhất (VNĐ)</t>
        </is>
      </c>
      <c r="J3" s="3" t="inlineStr">
        <is>
          <t>Hình thức cổ tức</t>
        </is>
      </c>
      <c r="K3" s="3" t="inlineStr">
        <is>
          <t>Cổ tức tiền mặt</t>
        </is>
      </c>
      <c r="L3" s="3" t="inlineStr">
        <is>
          <t>Cổ tức cổ phiếu</t>
        </is>
      </c>
      <c r="M3" s="3" t="inlineStr">
        <is>
          <t>Năm chia cổ tức tiền mặt</t>
        </is>
      </c>
      <c r="N3" s="3" t="inlineStr">
        <is>
          <t>Năm chia cổ tức cổ phiếu</t>
        </is>
      </c>
      <c r="O3" s="3" t="inlineStr">
        <is>
          <t>Ghi chú lịch sử cổ tức</t>
        </is>
      </c>
    </row>
    <row r="4" ht="22" customHeight="1">
      <c r="A4" s="4" t="n">
        <v>1</v>
      </c>
      <c r="B4" s="5" t="inlineStr">
        <is>
          <t>MWG</t>
        </is>
      </c>
      <c r="C4" s="4" t="inlineStr">
        <is>
          <t>HOSE</t>
        </is>
      </c>
      <c r="D4" s="6" t="inlineStr">
        <is>
          <t>CTCP Đầu tư Thế giới Di động</t>
        </is>
      </c>
      <c r="E4" s="6" t="inlineStr">
        <is>
          <t>Bán lẻ</t>
        </is>
      </c>
      <c r="F4" s="6" t="inlineStr">
        <is>
          <t>Dịch vụ Tiêu dùng</t>
        </is>
      </c>
      <c r="G4" s="7" t="inlineStr">
        <is>
          <t>⭐ Đầu ngành</t>
        </is>
      </c>
      <c r="H4" s="8" t="n">
        <v>2587390</v>
      </c>
      <c r="I4" s="9" t="n">
        <v>72500</v>
      </c>
      <c r="J4" s="10" t="inlineStr">
        <is>
          <t>Cả tiền mặt &amp; cổ phiếu</t>
        </is>
      </c>
      <c r="K4" s="11" t="inlineStr">
        <is>
          <t>Hàng năm</t>
        </is>
      </c>
      <c r="L4" s="12" t="inlineStr">
        <is>
          <t>Có</t>
        </is>
      </c>
      <c r="M4" s="6" t="inlineStr">
        <is>
          <t>2026, 2025, 2024, 2023, 2022, 2021, 2020, 2019</t>
        </is>
      </c>
      <c r="N4" s="6" t="inlineStr">
        <is>
          <t>2022, 2021, 2018, 2017, 2015, 2014</t>
        </is>
      </c>
      <c r="O4" s="6" t="inlineStr">
        <is>
          <t>Tiền mặt hàng năm (2026, 2025, 2024, 2023, 2022, 2021, 2020, 2019); Cổ tức CP (2022, 2021, 2018, 2017, 2015, 2014)</t>
        </is>
      </c>
    </row>
    <row r="5" ht="22" customHeight="1">
      <c r="A5" s="13" t="n">
        <v>2</v>
      </c>
      <c r="B5" s="5" t="inlineStr">
        <is>
          <t>DGW</t>
        </is>
      </c>
      <c r="C5" s="13" t="inlineStr">
        <is>
          <t>HOSE</t>
        </is>
      </c>
      <c r="D5" s="14" t="inlineStr">
        <is>
          <t>CTCP Thế Giới Số</t>
        </is>
      </c>
      <c r="E5" s="14" t="inlineStr">
        <is>
          <t>Bán lẻ</t>
        </is>
      </c>
      <c r="F5" s="14" t="inlineStr">
        <is>
          <t>Dịch vụ Tiêu dùng</t>
        </is>
      </c>
      <c r="G5" s="7" t="inlineStr">
        <is>
          <t>⭐ Đầu ngành</t>
        </is>
      </c>
      <c r="H5" s="15" t="n">
        <v>1989610</v>
      </c>
      <c r="I5" s="16" t="n">
        <v>45500</v>
      </c>
      <c r="J5" s="17" t="inlineStr">
        <is>
          <t>Cả tiền mặt &amp; cổ phiếu</t>
        </is>
      </c>
      <c r="K5" s="11" t="inlineStr">
        <is>
          <t>Hàng năm</t>
        </is>
      </c>
      <c r="L5" s="12" t="inlineStr">
        <is>
          <t>Có</t>
        </is>
      </c>
      <c r="M5" s="14" t="inlineStr">
        <is>
          <t>2026, 2025, 2024, 2023, 2022, 2021, 2020, 2019</t>
        </is>
      </c>
      <c r="N5" s="14" t="inlineStr">
        <is>
          <t>2024, 2022, 2021, 2016, 2015</t>
        </is>
      </c>
      <c r="O5" s="14" t="inlineStr">
        <is>
          <t>Tiền mặt hàng năm (2026, 2025, 2024, 2023, 2022, 2021, 2020, 2019); Cổ tức CP (2024, 2022, 2021, 2016, 2015)</t>
        </is>
      </c>
    </row>
    <row r="6" ht="22" customHeight="1">
      <c r="A6" s="4" t="n">
        <v>3</v>
      </c>
      <c r="B6" s="5" t="inlineStr">
        <is>
          <t>FRT</t>
        </is>
      </c>
      <c r="C6" s="4" t="inlineStr">
        <is>
          <t>HOSE</t>
        </is>
      </c>
      <c r="D6" s="6" t="inlineStr">
        <is>
          <t>CTCP Bán lẻ Kỹ thuật số FPT</t>
        </is>
      </c>
      <c r="E6" s="6" t="inlineStr">
        <is>
          <t>Bán lẻ</t>
        </is>
      </c>
      <c r="F6" s="6" t="inlineStr">
        <is>
          <t>Dịch vụ Tiêu dùng</t>
        </is>
      </c>
      <c r="G6" s="7" t="inlineStr">
        <is>
          <t>⭐ Đầu ngành</t>
        </is>
      </c>
      <c r="H6" s="8" t="n">
        <v>373490</v>
      </c>
      <c r="I6" s="9" t="n">
        <v>130900</v>
      </c>
      <c r="J6" s="10" t="inlineStr">
        <is>
          <t>Cả tiền mặt &amp; cổ phiếu</t>
        </is>
      </c>
      <c r="K6" s="11" t="inlineStr">
        <is>
          <t>Hàng năm</t>
        </is>
      </c>
      <c r="L6" s="12" t="inlineStr">
        <is>
          <t>Có</t>
        </is>
      </c>
      <c r="M6" s="6" t="inlineStr">
        <is>
          <t>2023, 2022, 2020, 2019</t>
        </is>
      </c>
      <c r="N6" s="6" t="inlineStr">
        <is>
          <t>2026, 2025, 2023, 2022, 2019, 2018</t>
        </is>
      </c>
      <c r="O6" s="6" t="inlineStr">
        <is>
          <t>Tiền mặt hàng năm (2023, 2022, 2020, 2019); Cổ tức CP (2026, 2025, 2023, 2022, 2019, 2018)</t>
        </is>
      </c>
    </row>
    <row r="7" ht="22" customHeight="1">
      <c r="A7" s="13" t="n">
        <v>4</v>
      </c>
      <c r="B7" s="5" t="inlineStr">
        <is>
          <t>PET</t>
        </is>
      </c>
      <c r="C7" s="13" t="inlineStr">
        <is>
          <t>HOSE</t>
        </is>
      </c>
      <c r="D7" s="14" t="inlineStr">
        <is>
          <t>Tổng Công ty cổ phần Dịch vụ Tổng hợp Dầu khí</t>
        </is>
      </c>
      <c r="E7" s="14" t="inlineStr">
        <is>
          <t>Bán lẻ</t>
        </is>
      </c>
      <c r="F7" s="14" t="inlineStr">
        <is>
          <t>Dịch vụ Tiêu dùng</t>
        </is>
      </c>
      <c r="G7" s="7" t="inlineStr">
        <is>
          <t>⭐ Đầu ngành</t>
        </is>
      </c>
      <c r="H7" s="15" t="n">
        <v>322620</v>
      </c>
      <c r="I7" s="16" t="n">
        <v>38900</v>
      </c>
      <c r="J7" s="17" t="inlineStr">
        <is>
          <t>Cả tiền mặt &amp; cổ phiếu</t>
        </is>
      </c>
      <c r="K7" s="11" t="inlineStr">
        <is>
          <t>Hàng năm</t>
        </is>
      </c>
      <c r="L7" s="12" t="inlineStr">
        <is>
          <t>Có</t>
        </is>
      </c>
      <c r="M7" s="14" t="inlineStr">
        <is>
          <t>2026, 2021, 2020, 2019, 2018, 2017, 2016, 2015</t>
        </is>
      </c>
      <c r="N7" s="14" t="inlineStr">
        <is>
          <t>2026, 2023, 2015</t>
        </is>
      </c>
      <c r="O7" s="14" t="inlineStr">
        <is>
          <t>Tiền mặt hàng năm (2026, 2021, 2020, 2019, 2018, 2017, 2016, 2015); Cổ tức CP (2026, 2023, 2015)</t>
        </is>
      </c>
    </row>
    <row r="8" ht="22" customHeight="1">
      <c r="A8" s="4" t="n">
        <v>5</v>
      </c>
      <c r="B8" s="18" t="inlineStr">
        <is>
          <t>DMX</t>
        </is>
      </c>
      <c r="C8" s="4" t="inlineStr">
        <is>
          <t>HOSE</t>
        </is>
      </c>
      <c r="D8" s="6" t="inlineStr">
        <is>
          <t>CTCP Đầu tư Điện máy Xanh</t>
        </is>
      </c>
      <c r="E8" s="6" t="inlineStr">
        <is>
          <t>Bán lẻ</t>
        </is>
      </c>
      <c r="F8" s="6" t="inlineStr">
        <is>
          <t>Dịch vụ Tiêu dùng</t>
        </is>
      </c>
      <c r="G8" s="4" t="inlineStr">
        <is>
          <t>Thành viên</t>
        </is>
      </c>
      <c r="H8" s="8" t="n">
        <v>450755</v>
      </c>
      <c r="I8" s="9" t="n">
        <v>76000</v>
      </c>
      <c r="J8" s="19" t="inlineStr">
        <is>
          <t>Tiền mặt không đều</t>
        </is>
      </c>
      <c r="K8" s="4" t="inlineStr">
        <is>
          <t>Có</t>
        </is>
      </c>
      <c r="L8" s="4" t="inlineStr">
        <is>
          <t>Không</t>
        </is>
      </c>
      <c r="M8" s="6" t="inlineStr">
        <is>
          <t>2026</t>
        </is>
      </c>
      <c r="N8" s="6" t="inlineStr">
        <is>
          <t>-</t>
        </is>
      </c>
      <c r="O8" s="6" t="inlineStr">
        <is>
          <t>Tiền mặt (2026)</t>
        </is>
      </c>
    </row>
    <row r="9" ht="22" customHeight="1">
      <c r="A9" s="13" t="n">
        <v>6</v>
      </c>
      <c r="B9" s="20" t="inlineStr">
        <is>
          <t>PIT</t>
        </is>
      </c>
      <c r="C9" s="13" t="inlineStr">
        <is>
          <t>HOSE</t>
        </is>
      </c>
      <c r="D9" s="14" t="inlineStr">
        <is>
          <t>CTCP Xuất nhập khẩu Petrolimex</t>
        </is>
      </c>
      <c r="E9" s="14" t="inlineStr">
        <is>
          <t>Bán lẻ</t>
        </is>
      </c>
      <c r="F9" s="14" t="inlineStr">
        <is>
          <t>Dịch vụ Tiêu dùng</t>
        </is>
      </c>
      <c r="G9" s="13" t="inlineStr">
        <is>
          <t>Thành viên</t>
        </is>
      </c>
      <c r="H9" s="15" t="n">
        <v>178390</v>
      </c>
      <c r="I9" s="16" t="n">
        <v>11800</v>
      </c>
      <c r="J9" s="21" t="inlineStr">
        <is>
          <t>Cổ tức cổ phiếu</t>
        </is>
      </c>
      <c r="K9" s="13" t="inlineStr">
        <is>
          <t>Có</t>
        </is>
      </c>
      <c r="L9" s="12" t="inlineStr">
        <is>
          <t>Có</t>
        </is>
      </c>
      <c r="M9" s="14" t="inlineStr">
        <is>
          <t>2012, 2010</t>
        </is>
      </c>
      <c r="N9" s="14" t="inlineStr">
        <is>
          <t>2014, 2012</t>
        </is>
      </c>
      <c r="O9" s="14" t="inlineStr">
        <is>
          <t>Tiền mặt (2012, 2010); Cổ tức CP (2014, 2012)</t>
        </is>
      </c>
    </row>
    <row r="10" ht="22" customHeight="1">
      <c r="A10" s="4" t="n">
        <v>7</v>
      </c>
      <c r="B10" s="18" t="inlineStr">
        <is>
          <t>AFX</t>
        </is>
      </c>
      <c r="C10" s="4" t="inlineStr">
        <is>
          <t>HOSE</t>
        </is>
      </c>
      <c r="D10" s="6" t="inlineStr">
        <is>
          <t>CTCP Xuất nhập khẩu Nông sản Thực phẩm An Giang</t>
        </is>
      </c>
      <c r="E10" s="6" t="inlineStr">
        <is>
          <t>Bán lẻ</t>
        </is>
      </c>
      <c r="F10" s="6" t="inlineStr">
        <is>
          <t>Dịch vụ Tiêu dùng</t>
        </is>
      </c>
      <c r="G10" s="4" t="inlineStr">
        <is>
          <t>Thành viên</t>
        </is>
      </c>
      <c r="H10" s="8" t="n">
        <v>132730</v>
      </c>
      <c r="I10" s="9" t="n">
        <v>9860</v>
      </c>
      <c r="J10" s="19" t="inlineStr">
        <is>
          <t>Tiền mặt không đều</t>
        </is>
      </c>
      <c r="K10" s="4" t="inlineStr">
        <is>
          <t>Có</t>
        </is>
      </c>
      <c r="L10" s="4" t="inlineStr">
        <is>
          <t>Không</t>
        </is>
      </c>
      <c r="M10" s="6" t="inlineStr">
        <is>
          <t>2019, 2018</t>
        </is>
      </c>
      <c r="N10" s="6" t="inlineStr">
        <is>
          <t>-</t>
        </is>
      </c>
      <c r="O10" s="6" t="inlineStr">
        <is>
          <t>Tiền mặt (2019, 2018)</t>
        </is>
      </c>
    </row>
    <row r="11" ht="22" customHeight="1">
      <c r="A11" s="13" t="n">
        <v>8</v>
      </c>
      <c r="B11" s="22" t="inlineStr">
        <is>
          <t>BVH</t>
        </is>
      </c>
      <c r="C11" s="13" t="inlineStr">
        <is>
          <t>HOSE</t>
        </is>
      </c>
      <c r="D11" s="14" t="inlineStr">
        <is>
          <t>Tập đoàn Bảo Việt</t>
        </is>
      </c>
      <c r="E11" s="14" t="inlineStr">
        <is>
          <t>Bảo hiểm</t>
        </is>
      </c>
      <c r="F11" s="14" t="inlineStr">
        <is>
          <t>Tài chính</t>
        </is>
      </c>
      <c r="G11" s="7" t="inlineStr">
        <is>
          <t>⭐ Đầu ngành</t>
        </is>
      </c>
      <c r="H11" s="15" t="n">
        <v>606465</v>
      </c>
      <c r="I11" s="16" t="n">
        <v>68500</v>
      </c>
      <c r="J11" s="23" t="inlineStr">
        <is>
          <t>Tiền mặt hàng năm</t>
        </is>
      </c>
      <c r="K11" s="11" t="inlineStr">
        <is>
          <t>Hàng năm</t>
        </is>
      </c>
      <c r="L11" s="13" t="inlineStr">
        <is>
          <t>Không</t>
        </is>
      </c>
      <c r="M11" s="14" t="inlineStr">
        <is>
          <t>2025, 2024, 2023, 2022, 2021, 2020, 2019, 2018</t>
        </is>
      </c>
      <c r="N11" s="14" t="inlineStr">
        <is>
          <t>-</t>
        </is>
      </c>
      <c r="O11" s="14" t="inlineStr">
        <is>
          <t>Tiền mặt hàng năm (2025, 2024, 2023, 2022, 2021, 2020, 2019, 2018)</t>
        </is>
      </c>
    </row>
    <row r="12" ht="22" customHeight="1">
      <c r="A12" s="4" t="n">
        <v>9</v>
      </c>
      <c r="B12" s="5" t="inlineStr">
        <is>
          <t>MIG</t>
        </is>
      </c>
      <c r="C12" s="4" t="inlineStr">
        <is>
          <t>HOSE</t>
        </is>
      </c>
      <c r="D12" s="6" t="inlineStr">
        <is>
          <t>Tổng Công ty cổ phần Bảo hiểm Quân Đội</t>
        </is>
      </c>
      <c r="E12" s="6" t="inlineStr">
        <is>
          <t>Bảo hiểm</t>
        </is>
      </c>
      <c r="F12" s="6" t="inlineStr">
        <is>
          <t>Tài chính</t>
        </is>
      </c>
      <c r="G12" s="7" t="inlineStr">
        <is>
          <t>⭐ Đầu ngành</t>
        </is>
      </c>
      <c r="H12" s="8" t="n">
        <v>100380</v>
      </c>
      <c r="I12" s="9" t="n">
        <v>15700</v>
      </c>
      <c r="J12" s="10" t="inlineStr">
        <is>
          <t>Cả tiền mặt &amp; cổ phiếu</t>
        </is>
      </c>
      <c r="K12" s="11" t="inlineStr">
        <is>
          <t>Hàng năm</t>
        </is>
      </c>
      <c r="L12" s="12" t="inlineStr">
        <is>
          <t>Có</t>
        </is>
      </c>
      <c r="M12" s="6" t="inlineStr">
        <is>
          <t>2026, 2025, 2024, 2023, 2020, 2019</t>
        </is>
      </c>
      <c r="N12" s="6" t="inlineStr">
        <is>
          <t>2025, 2023, 2022, 2021, 2018</t>
        </is>
      </c>
      <c r="O12" s="6" t="inlineStr">
        <is>
          <t>Tiền mặt hàng năm (2026, 2025, 2024, 2023, 2020, 2019); Cổ tức CP (2025, 2023, 2022, 2021, 2018)</t>
        </is>
      </c>
    </row>
    <row r="13" ht="22" customHeight="1">
      <c r="A13" s="13" t="n">
        <v>10</v>
      </c>
      <c r="B13" s="5" t="inlineStr">
        <is>
          <t>BMI</t>
        </is>
      </c>
      <c r="C13" s="13" t="inlineStr">
        <is>
          <t>HOSE</t>
        </is>
      </c>
      <c r="D13" s="14" t="inlineStr">
        <is>
          <t>Tổng Công ty cổ phần Bảo Minh</t>
        </is>
      </c>
      <c r="E13" s="14" t="inlineStr">
        <is>
          <t>Bảo hiểm</t>
        </is>
      </c>
      <c r="F13" s="14" t="inlineStr">
        <is>
          <t>Tài chính</t>
        </is>
      </c>
      <c r="G13" s="7" t="inlineStr">
        <is>
          <t>⭐ Đầu ngành</t>
        </is>
      </c>
      <c r="H13" s="15" t="n">
        <v>76705</v>
      </c>
      <c r="I13" s="16" t="n">
        <v>13950</v>
      </c>
      <c r="J13" s="17" t="inlineStr">
        <is>
          <t>Cả tiền mặt &amp; cổ phiếu</t>
        </is>
      </c>
      <c r="K13" s="11" t="inlineStr">
        <is>
          <t>Hàng năm</t>
        </is>
      </c>
      <c r="L13" s="12" t="inlineStr">
        <is>
          <t>Có</t>
        </is>
      </c>
      <c r="M13" s="14" t="inlineStr">
        <is>
          <t>2026, 2025, 2024, 2023, 2022, 2021, 2020, 2019</t>
        </is>
      </c>
      <c r="N13" s="14" t="inlineStr">
        <is>
          <t>2025, 2024, 2023, 2021, 2016, 2015</t>
        </is>
      </c>
      <c r="O13" s="14" t="inlineStr">
        <is>
          <t>Tiền mặt hàng năm (2026, 2025, 2024, 2023, 2022, 2021, 2020, 2019); Cổ tức CP (2025, 2024, 2023, 2021, 2016, 2015)</t>
        </is>
      </c>
    </row>
    <row r="14" ht="22" customHeight="1">
      <c r="A14" s="4" t="n">
        <v>11</v>
      </c>
      <c r="B14" s="20" t="inlineStr">
        <is>
          <t>NVL</t>
        </is>
      </c>
      <c r="C14" s="4" t="inlineStr">
        <is>
          <t>HOSE</t>
        </is>
      </c>
      <c r="D14" s="6" t="inlineStr">
        <is>
          <t xml:space="preserve">CTCP Tập đoàn Đầu tư Địa ốc No Va </t>
        </is>
      </c>
      <c r="E14" s="6" t="inlineStr">
        <is>
          <t>Bất động sản</t>
        </is>
      </c>
      <c r="F14" s="6" t="inlineStr">
        <is>
          <t>Tài chính</t>
        </is>
      </c>
      <c r="G14" s="7" t="inlineStr">
        <is>
          <t>⭐ Đầu ngành</t>
        </is>
      </c>
      <c r="H14" s="8" t="n">
        <v>12266670</v>
      </c>
      <c r="I14" s="9" t="n">
        <v>12800</v>
      </c>
      <c r="J14" s="24" t="inlineStr">
        <is>
          <t>Cổ tức cổ phiếu</t>
        </is>
      </c>
      <c r="K14" s="4" t="inlineStr">
        <is>
          <t>Có</t>
        </is>
      </c>
      <c r="L14" s="12" t="inlineStr">
        <is>
          <t>Có</t>
        </is>
      </c>
      <c r="M14" s="6" t="inlineStr">
        <is>
          <t>2019</t>
        </is>
      </c>
      <c r="N14" s="6" t="inlineStr">
        <is>
          <t>2026, 2025, 2021, 2018</t>
        </is>
      </c>
      <c r="O14" s="6" t="inlineStr">
        <is>
          <t>Tiền mặt (2019); Cổ tức CP (2026, 2025, 2021, 2018)</t>
        </is>
      </c>
    </row>
    <row r="15" ht="22" customHeight="1">
      <c r="A15" s="13" t="n">
        <v>12</v>
      </c>
      <c r="B15" s="20" t="inlineStr">
        <is>
          <t>DXG</t>
        </is>
      </c>
      <c r="C15" s="13" t="inlineStr">
        <is>
          <t>HOSE</t>
        </is>
      </c>
      <c r="D15" s="14" t="inlineStr">
        <is>
          <t>CTCP Bluemarq Group</t>
        </is>
      </c>
      <c r="E15" s="14" t="inlineStr">
        <is>
          <t>Bất động sản</t>
        </is>
      </c>
      <c r="F15" s="14" t="inlineStr">
        <is>
          <t>Tài chính</t>
        </is>
      </c>
      <c r="G15" s="7" t="inlineStr">
        <is>
          <t>⭐ Đầu ngành</t>
        </is>
      </c>
      <c r="H15" s="15" t="n">
        <v>11045365</v>
      </c>
      <c r="I15" s="16" t="n">
        <v>10600</v>
      </c>
      <c r="J15" s="21" t="inlineStr">
        <is>
          <t>Cổ tức cổ phiếu</t>
        </is>
      </c>
      <c r="K15" s="13" t="inlineStr">
        <is>
          <t>Có</t>
        </is>
      </c>
      <c r="L15" s="12" t="inlineStr">
        <is>
          <t>Có</t>
        </is>
      </c>
      <c r="M15" s="14" t="inlineStr">
        <is>
          <t>2017, 2010</t>
        </is>
      </c>
      <c r="N15" s="14" t="inlineStr">
        <is>
          <t>2026, 2025, 2022, 2021, 2019, 2018, 2017, 2016</t>
        </is>
      </c>
      <c r="O15" s="14" t="inlineStr">
        <is>
          <t>Tiền mặt (2017, 2010); Cổ tức CP (2026, 2025, 2022, 2021, 2019, 2018, 2017, 2016)</t>
        </is>
      </c>
    </row>
    <row r="16" ht="22" customHeight="1">
      <c r="A16" s="4" t="n">
        <v>13</v>
      </c>
      <c r="B16" s="5" t="inlineStr">
        <is>
          <t>VHM</t>
        </is>
      </c>
      <c r="C16" s="4" t="inlineStr">
        <is>
          <t>HOSE</t>
        </is>
      </c>
      <c r="D16" s="6" t="inlineStr">
        <is>
          <t>CTCP Vinhomes</t>
        </is>
      </c>
      <c r="E16" s="6" t="inlineStr">
        <is>
          <t>Bất động sản</t>
        </is>
      </c>
      <c r="F16" s="6" t="inlineStr">
        <is>
          <t>Tài chính</t>
        </is>
      </c>
      <c r="G16" s="7" t="inlineStr">
        <is>
          <t>⭐ Đầu ngành</t>
        </is>
      </c>
      <c r="H16" s="8" t="n">
        <v>8446140</v>
      </c>
      <c r="I16" s="9" t="n">
        <v>71000</v>
      </c>
      <c r="J16" s="10" t="inlineStr">
        <is>
          <t>Cả tiền mặt &amp; cổ phiếu</t>
        </is>
      </c>
      <c r="K16" s="11" t="inlineStr">
        <is>
          <t>Hàng năm</t>
        </is>
      </c>
      <c r="L16" s="12" t="inlineStr">
        <is>
          <t>Có</t>
        </is>
      </c>
      <c r="M16" s="6" t="inlineStr">
        <is>
          <t>2026, 2022, 2021, 2019</t>
        </is>
      </c>
      <c r="N16" s="6" t="inlineStr">
        <is>
          <t>2026, 2021, 2018</t>
        </is>
      </c>
      <c r="O16" s="6" t="inlineStr">
        <is>
          <t>Tiền mặt hàng năm (2026, 2022, 2021, 2019); Cổ tức CP (2026, 2021, 2018)</t>
        </is>
      </c>
    </row>
    <row r="17" ht="22" customHeight="1">
      <c r="A17" s="13" t="n">
        <v>14</v>
      </c>
      <c r="B17" s="5" t="inlineStr">
        <is>
          <t>CEO</t>
        </is>
      </c>
      <c r="C17" s="13" t="inlineStr">
        <is>
          <t>HNX</t>
        </is>
      </c>
      <c r="D17" s="14" t="inlineStr">
        <is>
          <t>CTCP Tập đoàn C.E.O</t>
        </is>
      </c>
      <c r="E17" s="14" t="inlineStr">
        <is>
          <t>Bất động sản</t>
        </is>
      </c>
      <c r="F17" s="14" t="inlineStr">
        <is>
          <t>Tài chính</t>
        </is>
      </c>
      <c r="G17" s="7" t="inlineStr">
        <is>
          <t>⭐ Đầu ngành</t>
        </is>
      </c>
      <c r="H17" s="15" t="n">
        <v>6407730</v>
      </c>
      <c r="I17" s="16" t="n">
        <v>11500</v>
      </c>
      <c r="J17" s="17" t="inlineStr">
        <is>
          <t>Cả tiền mặt &amp; cổ phiếu</t>
        </is>
      </c>
      <c r="K17" s="11" t="inlineStr">
        <is>
          <t>Hàng năm</t>
        </is>
      </c>
      <c r="L17" s="12" t="inlineStr">
        <is>
          <t>Có</t>
        </is>
      </c>
      <c r="M17" s="14" t="inlineStr">
        <is>
          <t>2019, 2018, 2017, 2016, 2015, 2014</t>
        </is>
      </c>
      <c r="N17" s="14" t="inlineStr">
        <is>
          <t>2026, 2025, 2024</t>
        </is>
      </c>
      <c r="O17" s="14" t="inlineStr">
        <is>
          <t>Tiền mặt hàng năm (2019, 2018, 2017, 2016, 2015, 2014); Cổ tức CP (2026, 2025, 2024)</t>
        </is>
      </c>
    </row>
    <row r="18" ht="22" customHeight="1">
      <c r="A18" s="4" t="n">
        <v>15</v>
      </c>
      <c r="B18" s="20" t="inlineStr">
        <is>
          <t>VIC</t>
        </is>
      </c>
      <c r="C18" s="4" t="inlineStr">
        <is>
          <t>HOSE</t>
        </is>
      </c>
      <c r="D18" s="6" t="inlineStr">
        <is>
          <t>Tập đoàn VINGROUP - CTCP</t>
        </is>
      </c>
      <c r="E18" s="6" t="inlineStr">
        <is>
          <t>Bất động sản</t>
        </is>
      </c>
      <c r="F18" s="6" t="inlineStr">
        <is>
          <t>Tài chính</t>
        </is>
      </c>
      <c r="G18" s="7" t="inlineStr">
        <is>
          <t>⭐ Đầu ngành</t>
        </is>
      </c>
      <c r="H18" s="8" t="n">
        <v>6269035</v>
      </c>
      <c r="I18" s="9" t="n">
        <v>241200</v>
      </c>
      <c r="J18" s="24" t="inlineStr">
        <is>
          <t>Cổ tức cổ phiếu</t>
        </is>
      </c>
      <c r="K18" s="4" t="inlineStr">
        <is>
          <t>Có</t>
        </is>
      </c>
      <c r="L18" s="12" t="inlineStr">
        <is>
          <t>Có</t>
        </is>
      </c>
      <c r="M18" s="6" t="inlineStr">
        <is>
          <t>2014, 2011</t>
        </is>
      </c>
      <c r="N18" s="6" t="inlineStr">
        <is>
          <t>2025, 2021, 2018, 2016, 2015, 2014, 2013, 2012</t>
        </is>
      </c>
      <c r="O18" s="6" t="inlineStr">
        <is>
          <t>Tiền mặt (2014, 2011); Cổ tức CP (2025, 2021, 2018, 2016, 2015, 2014, 2013, 2012)</t>
        </is>
      </c>
    </row>
    <row r="19" ht="22" customHeight="1">
      <c r="A19" s="13" t="n">
        <v>16</v>
      </c>
      <c r="B19" s="20" t="inlineStr">
        <is>
          <t>VRE</t>
        </is>
      </c>
      <c r="C19" s="13" t="inlineStr">
        <is>
          <t>HOSE</t>
        </is>
      </c>
      <c r="D19" s="14" t="inlineStr">
        <is>
          <t>CTCP Vincom Retail</t>
        </is>
      </c>
      <c r="E19" s="14" t="inlineStr">
        <is>
          <t>Bất động sản</t>
        </is>
      </c>
      <c r="F19" s="14" t="inlineStr">
        <is>
          <t>Tài chính</t>
        </is>
      </c>
      <c r="G19" s="7" t="inlineStr">
        <is>
          <t>⭐ Đầu ngành</t>
        </is>
      </c>
      <c r="H19" s="15" t="n">
        <v>5464730</v>
      </c>
      <c r="I19" s="16" t="n">
        <v>25500</v>
      </c>
      <c r="J19" s="21" t="inlineStr">
        <is>
          <t>Cổ tức cổ phiếu</t>
        </is>
      </c>
      <c r="K19" s="13" t="inlineStr">
        <is>
          <t>Có</t>
        </is>
      </c>
      <c r="L19" s="12" t="inlineStr">
        <is>
          <t>Có</t>
        </is>
      </c>
      <c r="M19" s="14" t="inlineStr">
        <is>
          <t>2026, 2019</t>
        </is>
      </c>
      <c r="N19" s="14" t="inlineStr">
        <is>
          <t>2018</t>
        </is>
      </c>
      <c r="O19" s="14" t="inlineStr">
        <is>
          <t>Tiền mặt (2026, 2019); Cổ tức CP (2018)</t>
        </is>
      </c>
    </row>
    <row r="20" ht="22" customHeight="1">
      <c r="A20" s="4" t="n">
        <v>17</v>
      </c>
      <c r="B20" s="5" t="inlineStr">
        <is>
          <t>DIG</t>
        </is>
      </c>
      <c r="C20" s="4" t="inlineStr">
        <is>
          <t>HOSE</t>
        </is>
      </c>
      <c r="D20" s="6" t="inlineStr">
        <is>
          <t>Tổng Công ty cổ phần Đầu tư Phát triển Xây dựng</t>
        </is>
      </c>
      <c r="E20" s="6" t="inlineStr">
        <is>
          <t>Bất động sản</t>
        </is>
      </c>
      <c r="F20" s="6" t="inlineStr">
        <is>
          <t>Tài chính</t>
        </is>
      </c>
      <c r="G20" s="7" t="inlineStr">
        <is>
          <t>⭐ Đầu ngành</t>
        </is>
      </c>
      <c r="H20" s="8" t="n">
        <v>5330585</v>
      </c>
      <c r="I20" s="9" t="n">
        <v>10200</v>
      </c>
      <c r="J20" s="10" t="inlineStr">
        <is>
          <t>Cả tiền mặt &amp; cổ phiếu</t>
        </is>
      </c>
      <c r="K20" s="11" t="inlineStr">
        <is>
          <t>Hàng năm</t>
        </is>
      </c>
      <c r="L20" s="12" t="inlineStr">
        <is>
          <t>Có</t>
        </is>
      </c>
      <c r="M20" s="6" t="inlineStr">
        <is>
          <t>2019, 2017, 2012, 2010, 2009</t>
        </is>
      </c>
      <c r="N20" s="6" t="inlineStr">
        <is>
          <t>2026, 2025, 2022, 2021, 2019, 2018, 2016, 2015</t>
        </is>
      </c>
      <c r="O20" s="6" t="inlineStr">
        <is>
          <t>Tiền mặt hàng năm (2019, 2017, 2012, 2010, 2009); Cổ tức CP (2026, 2025, 2022, 2021, 2019, 2018, 2016, 2015)</t>
        </is>
      </c>
    </row>
    <row r="21" ht="22" customHeight="1">
      <c r="A21" s="13" t="n">
        <v>18</v>
      </c>
      <c r="B21" s="5" t="inlineStr">
        <is>
          <t>KDH</t>
        </is>
      </c>
      <c r="C21" s="13" t="inlineStr">
        <is>
          <t>HOSE</t>
        </is>
      </c>
      <c r="D21" s="14" t="inlineStr">
        <is>
          <t>CTCP Đầu tư và Kinh doanh Nhà Khang Điền</t>
        </is>
      </c>
      <c r="E21" s="14" t="inlineStr">
        <is>
          <t>Bất động sản</t>
        </is>
      </c>
      <c r="F21" s="14" t="inlineStr">
        <is>
          <t>Tài chính</t>
        </is>
      </c>
      <c r="G21" s="7" t="inlineStr">
        <is>
          <t>⭐ Đầu ngành</t>
        </is>
      </c>
      <c r="H21" s="15" t="n">
        <v>5219440</v>
      </c>
      <c r="I21" s="16" t="n">
        <v>15800</v>
      </c>
      <c r="J21" s="17" t="inlineStr">
        <is>
          <t>Cả tiền mặt &amp; cổ phiếu</t>
        </is>
      </c>
      <c r="K21" s="11" t="inlineStr">
        <is>
          <t>Hàng năm</t>
        </is>
      </c>
      <c r="L21" s="12" t="inlineStr">
        <is>
          <t>Có</t>
        </is>
      </c>
      <c r="M21" s="14" t="inlineStr">
        <is>
          <t>2020, 2019, 2018, 2017, 2016, 2015</t>
        </is>
      </c>
      <c r="N21" s="14" t="inlineStr">
        <is>
          <t>2025, 2024, 2023, 2022, 2021, 2020, 2019, 2018</t>
        </is>
      </c>
      <c r="O21" s="14" t="inlineStr">
        <is>
          <t>Tiền mặt hàng năm (2020, 2019, 2018, 2017, 2016, 2015); Cổ tức CP (2025, 2024, 2023, 2022, 2021, 2020, 2019, 2018)</t>
        </is>
      </c>
    </row>
    <row r="22" ht="22" customHeight="1">
      <c r="A22" s="4" t="n">
        <v>19</v>
      </c>
      <c r="B22" s="20" t="inlineStr">
        <is>
          <t>PDR</t>
        </is>
      </c>
      <c r="C22" s="4" t="inlineStr">
        <is>
          <t>HOSE</t>
        </is>
      </c>
      <c r="D22" s="6" t="inlineStr">
        <is>
          <t>CTCP Phát triển Bất động sản Phát Đạt</t>
        </is>
      </c>
      <c r="E22" s="6" t="inlineStr">
        <is>
          <t>Bất động sản</t>
        </is>
      </c>
      <c r="F22" s="6" t="inlineStr">
        <is>
          <t>Tài chính</t>
        </is>
      </c>
      <c r="G22" s="7" t="inlineStr">
        <is>
          <t>⭐ Đầu ngành</t>
        </is>
      </c>
      <c r="H22" s="8" t="n">
        <v>4531505</v>
      </c>
      <c r="I22" s="9" t="n">
        <v>11500</v>
      </c>
      <c r="J22" s="24" t="inlineStr">
        <is>
          <t>Cổ tức cổ phiếu</t>
        </is>
      </c>
      <c r="K22" s="4" t="inlineStr">
        <is>
          <t>Có</t>
        </is>
      </c>
      <c r="L22" s="12" t="inlineStr">
        <is>
          <t>Có</t>
        </is>
      </c>
      <c r="M22" s="6" t="inlineStr">
        <is>
          <t>2019</t>
        </is>
      </c>
      <c r="N22" s="6" t="inlineStr">
        <is>
          <t>2025, 2022, 2021, 2020, 2019, 2018, 2017, 2015</t>
        </is>
      </c>
      <c r="O22" s="6" t="inlineStr">
        <is>
          <t>Tiền mặt (2019); Cổ tức CP (2025, 2022, 2021, 2020, 2019, 2018, 2017, 2015)</t>
        </is>
      </c>
    </row>
    <row r="23" ht="22" customHeight="1">
      <c r="A23" s="13" t="n">
        <v>20</v>
      </c>
      <c r="B23" s="5" t="inlineStr">
        <is>
          <t>NLG</t>
        </is>
      </c>
      <c r="C23" s="13" t="inlineStr">
        <is>
          <t>HOSE</t>
        </is>
      </c>
      <c r="D23" s="14" t="inlineStr">
        <is>
          <t>CTCP Đầu tư Nam Long</t>
        </is>
      </c>
      <c r="E23" s="14" t="inlineStr">
        <is>
          <t>Bất động sản</t>
        </is>
      </c>
      <c r="F23" s="14" t="inlineStr">
        <is>
          <t>Tài chính</t>
        </is>
      </c>
      <c r="G23" s="7" t="inlineStr">
        <is>
          <t>⭐ Đầu ngành</t>
        </is>
      </c>
      <c r="H23" s="15" t="n">
        <v>2108305</v>
      </c>
      <c r="I23" s="16" t="n">
        <v>24100</v>
      </c>
      <c r="J23" s="17" t="inlineStr">
        <is>
          <t>Cả tiền mặt &amp; cổ phiếu</t>
        </is>
      </c>
      <c r="K23" s="11" t="inlineStr">
        <is>
          <t>Hàng năm</t>
        </is>
      </c>
      <c r="L23" s="12" t="inlineStr">
        <is>
          <t>Có</t>
        </is>
      </c>
      <c r="M23" s="14" t="inlineStr">
        <is>
          <t>2026, 2025, 2024, 2023, 2022, 2021, 2020, 2019</t>
        </is>
      </c>
      <c r="N23" s="14" t="inlineStr">
        <is>
          <t>2021, 2020, 2019, 2018, 2017</t>
        </is>
      </c>
      <c r="O23" s="14" t="inlineStr">
        <is>
          <t>Tiền mặt hàng năm (2026, 2025, 2024, 2023, 2022, 2021, 2020, 2019); Cổ tức CP (2021, 2020, 2019, 2018, 2017)</t>
        </is>
      </c>
    </row>
    <row r="24" ht="22" customHeight="1">
      <c r="A24" s="4" t="n">
        <v>21</v>
      </c>
      <c r="B24" s="20" t="inlineStr">
        <is>
          <t>KBC</t>
        </is>
      </c>
      <c r="C24" s="4" t="inlineStr">
        <is>
          <t>HOSE</t>
        </is>
      </c>
      <c r="D24" s="6" t="inlineStr">
        <is>
          <t>Tổng Công ty Phát triển Đô thị Kinh Bắc - CTCP</t>
        </is>
      </c>
      <c r="E24" s="6" t="inlineStr">
        <is>
          <t>Bất động sản</t>
        </is>
      </c>
      <c r="F24" s="6" t="inlineStr">
        <is>
          <t>Tài chính</t>
        </is>
      </c>
      <c r="G24" s="7" t="inlineStr">
        <is>
          <t>⭐ Đầu ngành</t>
        </is>
      </c>
      <c r="H24" s="8" t="n">
        <v>1323585</v>
      </c>
      <c r="I24" s="9" t="n">
        <v>26000</v>
      </c>
      <c r="J24" s="24" t="inlineStr">
        <is>
          <t>Cổ tức cổ phiếu</t>
        </is>
      </c>
      <c r="K24" s="4" t="inlineStr">
        <is>
          <t>Có</t>
        </is>
      </c>
      <c r="L24" s="12" t="inlineStr">
        <is>
          <t>Có</t>
        </is>
      </c>
      <c r="M24" s="6" t="inlineStr">
        <is>
          <t>2019</t>
        </is>
      </c>
      <c r="N24" s="6" t="inlineStr">
        <is>
          <t>2022</t>
        </is>
      </c>
      <c r="O24" s="6" t="inlineStr">
        <is>
          <t>Tiền mặt (2019); Cổ tức CP (2022)</t>
        </is>
      </c>
    </row>
    <row r="25" ht="22" customHeight="1">
      <c r="A25" s="13" t="n">
        <v>22</v>
      </c>
      <c r="B25" s="5" t="inlineStr">
        <is>
          <t>TCH</t>
        </is>
      </c>
      <c r="C25" s="13" t="inlineStr">
        <is>
          <t>HOSE</t>
        </is>
      </c>
      <c r="D25" s="14" t="inlineStr">
        <is>
          <t>CTCP Đầu tư Dịch vụ Tài chính Hoàng Huy</t>
        </is>
      </c>
      <c r="E25" s="14" t="inlineStr">
        <is>
          <t>Bất động sản</t>
        </is>
      </c>
      <c r="F25" s="14" t="inlineStr">
        <is>
          <t>Tài chính</t>
        </is>
      </c>
      <c r="G25" s="13" t="inlineStr">
        <is>
          <t>Thành viên</t>
        </is>
      </c>
      <c r="H25" s="15" t="n">
        <v>6016595</v>
      </c>
      <c r="I25" s="16" t="n">
        <v>11850</v>
      </c>
      <c r="J25" s="17" t="inlineStr">
        <is>
          <t>Cả tiền mặt &amp; cổ phiếu</t>
        </is>
      </c>
      <c r="K25" s="11" t="inlineStr">
        <is>
          <t>Hàng năm</t>
        </is>
      </c>
      <c r="L25" s="12" t="inlineStr">
        <is>
          <t>Có</t>
        </is>
      </c>
      <c r="M25" s="14" t="inlineStr">
        <is>
          <t>2023, 2022, 2020, 2019, 2018, 2017</t>
        </is>
      </c>
      <c r="N25" s="14" t="inlineStr">
        <is>
          <t>2026, 2025, 2022, 2021, 2016</t>
        </is>
      </c>
      <c r="O25" s="14" t="inlineStr">
        <is>
          <t>Tiền mặt hàng năm (2023, 2022, 2020, 2019, 2018, 2017); Cổ tức CP (2026, 2025, 2022, 2021, 2016)</t>
        </is>
      </c>
    </row>
    <row r="26" ht="22" customHeight="1">
      <c r="A26" s="4" t="n">
        <v>23</v>
      </c>
      <c r="B26" s="20" t="inlineStr">
        <is>
          <t>HQC</t>
        </is>
      </c>
      <c r="C26" s="4" t="inlineStr">
        <is>
          <t>HOSE</t>
        </is>
      </c>
      <c r="D26" s="6" t="inlineStr">
        <is>
          <t>CTCP Tư vấn Thương mại Dịch vụ Địa Ốc Hoàng Quân</t>
        </is>
      </c>
      <c r="E26" s="6" t="inlineStr">
        <is>
          <t>Bất động sản</t>
        </is>
      </c>
      <c r="F26" s="6" t="inlineStr">
        <is>
          <t>Tài chính</t>
        </is>
      </c>
      <c r="G26" s="4" t="inlineStr">
        <is>
          <t>Thành viên</t>
        </is>
      </c>
      <c r="H26" s="8" t="n">
        <v>2522115</v>
      </c>
      <c r="I26" s="9" t="n">
        <v>1920</v>
      </c>
      <c r="J26" s="24" t="inlineStr">
        <is>
          <t>Cổ tức cổ phiếu</t>
        </is>
      </c>
      <c r="K26" s="4" t="inlineStr">
        <is>
          <t>Có</t>
        </is>
      </c>
      <c r="L26" s="12" t="inlineStr">
        <is>
          <t>Có</t>
        </is>
      </c>
      <c r="M26" s="6" t="inlineStr">
        <is>
          <t>2015, 2014</t>
        </is>
      </c>
      <c r="N26" s="6" t="inlineStr">
        <is>
          <t>2016, 2013, 2012</t>
        </is>
      </c>
      <c r="O26" s="6" t="inlineStr">
        <is>
          <t>Tiền mặt (2015, 2014); Cổ tức CP (2016, 2013, 2012)</t>
        </is>
      </c>
    </row>
    <row r="27" ht="22" customHeight="1">
      <c r="A27" s="13" t="n">
        <v>24</v>
      </c>
      <c r="B27" s="5" t="inlineStr">
        <is>
          <t>VPI</t>
        </is>
      </c>
      <c r="C27" s="13" t="inlineStr">
        <is>
          <t>HOSE</t>
        </is>
      </c>
      <c r="D27" s="14" t="inlineStr">
        <is>
          <t>CTCP Phát triển Bất động sản Văn Phú</t>
        </is>
      </c>
      <c r="E27" s="14" t="inlineStr">
        <is>
          <t>Bất động sản</t>
        </is>
      </c>
      <c r="F27" s="14" t="inlineStr">
        <is>
          <t>Tài chính</t>
        </is>
      </c>
      <c r="G27" s="13" t="inlineStr">
        <is>
          <t>Thành viên</t>
        </is>
      </c>
      <c r="H27" s="15" t="n">
        <v>2229360</v>
      </c>
      <c r="I27" s="16" t="n">
        <v>62900</v>
      </c>
      <c r="J27" s="17" t="inlineStr">
        <is>
          <t>Cả tiền mặt &amp; cổ phiếu</t>
        </is>
      </c>
      <c r="K27" s="11" t="inlineStr">
        <is>
          <t>Hàng năm</t>
        </is>
      </c>
      <c r="L27" s="12" t="inlineStr">
        <is>
          <t>Có</t>
        </is>
      </c>
      <c r="M27" s="14" t="inlineStr">
        <is>
          <t>2023, 2019, 2017</t>
        </is>
      </c>
      <c r="N27" s="14" t="inlineStr">
        <is>
          <t>2026, 2024, 2022, 2021, 2020</t>
        </is>
      </c>
      <c r="O27" s="14" t="inlineStr">
        <is>
          <t>Tiền mặt hàng năm (2023, 2019, 2017); Cổ tức CP (2026, 2024, 2022, 2021, 2020)</t>
        </is>
      </c>
    </row>
    <row r="28" ht="22" customHeight="1">
      <c r="A28" s="4" t="n">
        <v>25</v>
      </c>
      <c r="B28" s="20" t="inlineStr">
        <is>
          <t>DXS</t>
        </is>
      </c>
      <c r="C28" s="4" t="inlineStr">
        <is>
          <t>HOSE</t>
        </is>
      </c>
      <c r="D28" s="6" t="inlineStr">
        <is>
          <t>CTCP Dịch vụ Bất động sản Đất Xanh</t>
        </is>
      </c>
      <c r="E28" s="6" t="inlineStr">
        <is>
          <t>Bất động sản</t>
        </is>
      </c>
      <c r="F28" s="6" t="inlineStr">
        <is>
          <t>Tài chính</t>
        </is>
      </c>
      <c r="G28" s="4" t="inlineStr">
        <is>
          <t>Thành viên</t>
        </is>
      </c>
      <c r="H28" s="8" t="n">
        <v>2161100</v>
      </c>
      <c r="I28" s="9" t="n">
        <v>5500</v>
      </c>
      <c r="J28" s="24" t="inlineStr">
        <is>
          <t>Cổ tức cổ phiếu</t>
        </is>
      </c>
      <c r="K28" s="4" t="inlineStr">
        <is>
          <t>Không</t>
        </is>
      </c>
      <c r="L28" s="12" t="inlineStr">
        <is>
          <t>Có</t>
        </is>
      </c>
      <c r="M28" s="6" t="inlineStr">
        <is>
          <t>-</t>
        </is>
      </c>
      <c r="N28" s="6" t="inlineStr">
        <is>
          <t>2023, 2022</t>
        </is>
      </c>
      <c r="O28" s="6" t="inlineStr">
        <is>
          <t>Cổ tức CP (2023, 2022)</t>
        </is>
      </c>
    </row>
    <row r="29" ht="22" customHeight="1">
      <c r="A29" s="13" t="n">
        <v>26</v>
      </c>
      <c r="B29" s="20" t="inlineStr">
        <is>
          <t>KHG</t>
        </is>
      </c>
      <c r="C29" s="13" t="inlineStr">
        <is>
          <t>HOSE</t>
        </is>
      </c>
      <c r="D29" s="14" t="inlineStr">
        <is>
          <t>CTCP Tập đoàn Khải Hoàn Land</t>
        </is>
      </c>
      <c r="E29" s="14" t="inlineStr">
        <is>
          <t>Bất động sản</t>
        </is>
      </c>
      <c r="F29" s="14" t="inlineStr">
        <is>
          <t>Tài chính</t>
        </is>
      </c>
      <c r="G29" s="13" t="inlineStr">
        <is>
          <t>Thành viên</t>
        </is>
      </c>
      <c r="H29" s="15" t="n">
        <v>1540850</v>
      </c>
      <c r="I29" s="16" t="n">
        <v>4550</v>
      </c>
      <c r="J29" s="21" t="inlineStr">
        <is>
          <t>Cổ tức cổ phiếu</t>
        </is>
      </c>
      <c r="K29" s="13" t="inlineStr">
        <is>
          <t>Không</t>
        </is>
      </c>
      <c r="L29" s="12" t="inlineStr">
        <is>
          <t>Có</t>
        </is>
      </c>
      <c r="M29" s="14" t="inlineStr">
        <is>
          <t>-</t>
        </is>
      </c>
      <c r="N29" s="14" t="inlineStr">
        <is>
          <t>2022</t>
        </is>
      </c>
      <c r="O29" s="14" t="inlineStr">
        <is>
          <t>Cổ tức CP (2022)</t>
        </is>
      </c>
    </row>
    <row r="30" ht="22" customHeight="1">
      <c r="A30" s="4" t="n">
        <v>27</v>
      </c>
      <c r="B30" s="5" t="inlineStr">
        <is>
          <t>IJC</t>
        </is>
      </c>
      <c r="C30" s="4" t="inlineStr">
        <is>
          <t>HOSE</t>
        </is>
      </c>
      <c r="D30" s="6" t="inlineStr">
        <is>
          <t>CTCP Phát triển Hạ tầng Kỹ thuật</t>
        </is>
      </c>
      <c r="E30" s="6" t="inlineStr">
        <is>
          <t>Bất động sản</t>
        </is>
      </c>
      <c r="F30" s="6" t="inlineStr">
        <is>
          <t>Tài chính</t>
        </is>
      </c>
      <c r="G30" s="4" t="inlineStr">
        <is>
          <t>Thành viên</t>
        </is>
      </c>
      <c r="H30" s="8" t="n">
        <v>1366305</v>
      </c>
      <c r="I30" s="9" t="n">
        <v>6920</v>
      </c>
      <c r="J30" s="10" t="inlineStr">
        <is>
          <t>Cả tiền mặt &amp; cổ phiếu</t>
        </is>
      </c>
      <c r="K30" s="11" t="inlineStr">
        <is>
          <t>Hàng năm</t>
        </is>
      </c>
      <c r="L30" s="12" t="inlineStr">
        <is>
          <t>Có</t>
        </is>
      </c>
      <c r="M30" s="6" t="inlineStr">
        <is>
          <t>2026, 2025, 2024, 2023, 2021, 2020, 2019, 2017</t>
        </is>
      </c>
      <c r="N30" s="6" t="inlineStr">
        <is>
          <t>2023</t>
        </is>
      </c>
      <c r="O30" s="6" t="inlineStr">
        <is>
          <t>Tiền mặt hàng năm (2026, 2025, 2024, 2023, 2021, 2020, 2019, 2017); Cổ tức CP (2023)</t>
        </is>
      </c>
    </row>
    <row r="31" ht="22" customHeight="1">
      <c r="A31" s="13" t="n">
        <v>28</v>
      </c>
      <c r="B31" s="5" t="inlineStr">
        <is>
          <t>IDC</t>
        </is>
      </c>
      <c r="C31" s="13" t="inlineStr">
        <is>
          <t>HNX</t>
        </is>
      </c>
      <c r="D31" s="14" t="inlineStr">
        <is>
          <t>Tổng Công ty IDICO - CTCP</t>
        </is>
      </c>
      <c r="E31" s="14" t="inlineStr">
        <is>
          <t>Bất động sản</t>
        </is>
      </c>
      <c r="F31" s="14" t="inlineStr">
        <is>
          <t>Tài chính</t>
        </is>
      </c>
      <c r="G31" s="13" t="inlineStr">
        <is>
          <t>Thành viên</t>
        </is>
      </c>
      <c r="H31" s="15" t="n">
        <v>1212035</v>
      </c>
      <c r="I31" s="16" t="n">
        <v>32200</v>
      </c>
      <c r="J31" s="17" t="inlineStr">
        <is>
          <t>Cả tiền mặt &amp; cổ phiếu</t>
        </is>
      </c>
      <c r="K31" s="11" t="inlineStr">
        <is>
          <t>Hàng năm</t>
        </is>
      </c>
      <c r="L31" s="12" t="inlineStr">
        <is>
          <t>Có</t>
        </is>
      </c>
      <c r="M31" s="14" t="inlineStr">
        <is>
          <t>2026, 2025, 2024, 2023, 2022, 2021, 2020, 2019</t>
        </is>
      </c>
      <c r="N31" s="14" t="inlineStr">
        <is>
          <t>2026, 2025, 2022</t>
        </is>
      </c>
      <c r="O31" s="14" t="inlineStr">
        <is>
          <t>Tiền mặt hàng năm (2026, 2025, 2024, 2023, 2022, 2021, 2020, 2019); Cổ tức CP (2026, 2025, 2022)</t>
        </is>
      </c>
    </row>
    <row r="32" ht="22" customHeight="1">
      <c r="A32" s="4" t="n">
        <v>29</v>
      </c>
      <c r="B32" s="5" t="inlineStr">
        <is>
          <t>VC3</t>
        </is>
      </c>
      <c r="C32" s="4" t="inlineStr">
        <is>
          <t>HNX</t>
        </is>
      </c>
      <c r="D32" s="6" t="inlineStr">
        <is>
          <t>CTCP Tập đoàn Nam Mê Kông</t>
        </is>
      </c>
      <c r="E32" s="6" t="inlineStr">
        <is>
          <t>Bất động sản</t>
        </is>
      </c>
      <c r="F32" s="6" t="inlineStr">
        <is>
          <t>Tài chính</t>
        </is>
      </c>
      <c r="G32" s="4" t="inlineStr">
        <is>
          <t>Thành viên</t>
        </is>
      </c>
      <c r="H32" s="8" t="n">
        <v>1188150</v>
      </c>
      <c r="I32" s="9" t="n">
        <v>23800</v>
      </c>
      <c r="J32" s="10" t="inlineStr">
        <is>
          <t>Cả tiền mặt &amp; cổ phiếu</t>
        </is>
      </c>
      <c r="K32" s="11" t="inlineStr">
        <is>
          <t>Hàng năm</t>
        </is>
      </c>
      <c r="L32" s="12" t="inlineStr">
        <is>
          <t>Có</t>
        </is>
      </c>
      <c r="M32" s="6" t="inlineStr">
        <is>
          <t>2017, 2016, 2015, 2014, 2013, 2010, 2009, 2008</t>
        </is>
      </c>
      <c r="N32" s="6" t="inlineStr">
        <is>
          <t>2026, 2025, 2024, 2023, 2021, 2019, 2017, 2016</t>
        </is>
      </c>
      <c r="O32" s="6" t="inlineStr">
        <is>
          <t>Tiền mặt hàng năm (2017, 2016, 2015, 2014, 2013, 2010, 2009, 2008); Cổ tức CP (2026, 2025, 2024, 2023, 2021, 2019, 2017, 2016)</t>
        </is>
      </c>
    </row>
    <row r="33" ht="22" customHeight="1">
      <c r="A33" s="13" t="n">
        <v>30</v>
      </c>
      <c r="B33" s="20" t="inlineStr">
        <is>
          <t>SCR</t>
        </is>
      </c>
      <c r="C33" s="13" t="inlineStr">
        <is>
          <t>HOSE</t>
        </is>
      </c>
      <c r="D33" s="14" t="inlineStr">
        <is>
          <t>CTCP Địa ốc Sài Gòn Thương Tín</t>
        </is>
      </c>
      <c r="E33" s="14" t="inlineStr">
        <is>
          <t>Bất động sản</t>
        </is>
      </c>
      <c r="F33" s="14" t="inlineStr">
        <is>
          <t>Tài chính</t>
        </is>
      </c>
      <c r="G33" s="13" t="inlineStr">
        <is>
          <t>Thành viên</t>
        </is>
      </c>
      <c r="H33" s="15" t="n">
        <v>959955</v>
      </c>
      <c r="I33" s="16" t="n">
        <v>4180</v>
      </c>
      <c r="J33" s="21" t="inlineStr">
        <is>
          <t>Cổ tức cổ phiếu</t>
        </is>
      </c>
      <c r="K33" s="13" t="inlineStr">
        <is>
          <t>Không</t>
        </is>
      </c>
      <c r="L33" s="12" t="inlineStr">
        <is>
          <t>Có</t>
        </is>
      </c>
      <c r="M33" s="14" t="inlineStr">
        <is>
          <t>-</t>
        </is>
      </c>
      <c r="N33" s="14" t="inlineStr">
        <is>
          <t>2022, 2019, 2018, 2017, 2016, 2015, 2014, 2013</t>
        </is>
      </c>
      <c r="O33" s="14" t="inlineStr">
        <is>
          <t>Cổ tức CP (2022, 2019, 2018, 2017, 2016, 2015, 2014, 2013)</t>
        </is>
      </c>
    </row>
    <row r="34" ht="22" customHeight="1">
      <c r="A34" s="4" t="n">
        <v>31</v>
      </c>
      <c r="B34" s="5" t="inlineStr">
        <is>
          <t>HDC</t>
        </is>
      </c>
      <c r="C34" s="4" t="inlineStr">
        <is>
          <t>HOSE</t>
        </is>
      </c>
      <c r="D34" s="6" t="inlineStr">
        <is>
          <t>CTCP Phát triển Nhà Bà Rịa - Vũng Tàu</t>
        </is>
      </c>
      <c r="E34" s="6" t="inlineStr">
        <is>
          <t>Bất động sản</t>
        </is>
      </c>
      <c r="F34" s="6" t="inlineStr">
        <is>
          <t>Tài chính</t>
        </is>
      </c>
      <c r="G34" s="4" t="inlineStr">
        <is>
          <t>Thành viên</t>
        </is>
      </c>
      <c r="H34" s="8" t="n">
        <v>949200</v>
      </c>
      <c r="I34" s="9" t="n">
        <v>11450</v>
      </c>
      <c r="J34" s="10" t="inlineStr">
        <is>
          <t>Cả tiền mặt &amp; cổ phiếu</t>
        </is>
      </c>
      <c r="K34" s="11" t="inlineStr">
        <is>
          <t>Hàng năm</t>
        </is>
      </c>
      <c r="L34" s="12" t="inlineStr">
        <is>
          <t>Có</t>
        </is>
      </c>
      <c r="M34" s="6" t="inlineStr">
        <is>
          <t>2017, 2015, 2014, 2010, 2009</t>
        </is>
      </c>
      <c r="N34" s="6" t="inlineStr">
        <is>
          <t>2026, 2025, 2024, 2023, 2022, 2021, 2020, 2019</t>
        </is>
      </c>
      <c r="O34" s="6" t="inlineStr">
        <is>
          <t>Tiền mặt hàng năm (2017, 2015, 2014, 2010, 2009); Cổ tức CP (2026, 2025, 2024, 2023, 2022, 2021, 2020, 2019)</t>
        </is>
      </c>
    </row>
    <row r="35" ht="22" customHeight="1">
      <c r="A35" s="13" t="n">
        <v>32</v>
      </c>
      <c r="B35" s="20" t="inlineStr">
        <is>
          <t>NRC</t>
        </is>
      </c>
      <c r="C35" s="13" t="inlineStr">
        <is>
          <t>HNX</t>
        </is>
      </c>
      <c r="D35" s="14" t="inlineStr">
        <is>
          <t>CTCP Tập đoàn Bất động sản Quốc gia</t>
        </is>
      </c>
      <c r="E35" s="14" t="inlineStr">
        <is>
          <t>Bất động sản</t>
        </is>
      </c>
      <c r="F35" s="14" t="inlineStr">
        <is>
          <t>Tài chính</t>
        </is>
      </c>
      <c r="G35" s="13" t="inlineStr">
        <is>
          <t>Thành viên</t>
        </is>
      </c>
      <c r="H35" s="15" t="n">
        <v>834940</v>
      </c>
      <c r="I35" s="16" t="n">
        <v>4600</v>
      </c>
      <c r="J35" s="21" t="inlineStr">
        <is>
          <t>Cổ tức cổ phiếu</t>
        </is>
      </c>
      <c r="K35" s="13" t="inlineStr">
        <is>
          <t>Có</t>
        </is>
      </c>
      <c r="L35" s="12" t="inlineStr">
        <is>
          <t>Có</t>
        </is>
      </c>
      <c r="M35" s="14" t="inlineStr">
        <is>
          <t>2020, 2019</t>
        </is>
      </c>
      <c r="N35" s="14" t="inlineStr">
        <is>
          <t>2022, 2021, 2020, 2019</t>
        </is>
      </c>
      <c r="O35" s="14" t="inlineStr">
        <is>
          <t>Tiền mặt (2020, 2019); Cổ tức CP (2022, 2021, 2020, 2019)</t>
        </is>
      </c>
    </row>
    <row r="36" ht="22" customHeight="1">
      <c r="A36" s="4" t="n">
        <v>33</v>
      </c>
      <c r="B36" s="20" t="inlineStr">
        <is>
          <t>HPX</t>
        </is>
      </c>
      <c r="C36" s="4" t="inlineStr">
        <is>
          <t>HOSE</t>
        </is>
      </c>
      <c r="D36" s="6" t="inlineStr">
        <is>
          <t>CTCP Đầu tư Hải Phát</t>
        </is>
      </c>
      <c r="E36" s="6" t="inlineStr">
        <is>
          <t>Bất động sản</t>
        </is>
      </c>
      <c r="F36" s="6" t="inlineStr">
        <is>
          <t>Tài chính</t>
        </is>
      </c>
      <c r="G36" s="4" t="inlineStr">
        <is>
          <t>Thành viên</t>
        </is>
      </c>
      <c r="H36" s="8" t="n">
        <v>733470</v>
      </c>
      <c r="I36" s="9" t="n">
        <v>4210</v>
      </c>
      <c r="J36" s="24" t="inlineStr">
        <is>
          <t>Cổ tức cổ phiếu</t>
        </is>
      </c>
      <c r="K36" s="4" t="inlineStr">
        <is>
          <t>Không</t>
        </is>
      </c>
      <c r="L36" s="12" t="inlineStr">
        <is>
          <t>Có</t>
        </is>
      </c>
      <c r="M36" s="6" t="inlineStr">
        <is>
          <t>-</t>
        </is>
      </c>
      <c r="N36" s="6" t="inlineStr">
        <is>
          <t>2021, 2020, 2018</t>
        </is>
      </c>
      <c r="O36" s="6" t="inlineStr">
        <is>
          <t>Cổ tức CP (2021, 2020, 2018)</t>
        </is>
      </c>
    </row>
    <row r="37" ht="22" customHeight="1">
      <c r="A37" s="13" t="n">
        <v>34</v>
      </c>
      <c r="B37" s="22" t="inlineStr">
        <is>
          <t>BCM</t>
        </is>
      </c>
      <c r="C37" s="13" t="inlineStr">
        <is>
          <t>HOSE</t>
        </is>
      </c>
      <c r="D37" s="14" t="inlineStr">
        <is>
          <t>Tập đoàn Đầu tư và Phát triển Công nghiệp Becamex - CTCP</t>
        </is>
      </c>
      <c r="E37" s="14" t="inlineStr">
        <is>
          <t>Bất động sản</t>
        </is>
      </c>
      <c r="F37" s="14" t="inlineStr">
        <is>
          <t>Tài chính</t>
        </is>
      </c>
      <c r="G37" s="13" t="inlineStr">
        <is>
          <t>Thành viên</t>
        </is>
      </c>
      <c r="H37" s="15" t="n">
        <v>714875</v>
      </c>
      <c r="I37" s="16" t="n">
        <v>40250</v>
      </c>
      <c r="J37" s="23" t="inlineStr">
        <is>
          <t>Tiền mặt hàng năm</t>
        </is>
      </c>
      <c r="K37" s="11" t="inlineStr">
        <is>
          <t>Hàng năm</t>
        </is>
      </c>
      <c r="L37" s="13" t="inlineStr">
        <is>
          <t>Không</t>
        </is>
      </c>
      <c r="M37" s="14" t="inlineStr">
        <is>
          <t>2026, 2024, 2023, 2022, 2021, 2020, 2019</t>
        </is>
      </c>
      <c r="N37" s="14" t="inlineStr">
        <is>
          <t>-</t>
        </is>
      </c>
      <c r="O37" s="14" t="inlineStr">
        <is>
          <t>Tiền mặt hàng năm (2026, 2024, 2023, 2022, 2021, 2020, 2019)</t>
        </is>
      </c>
    </row>
    <row r="38" ht="22" customHeight="1">
      <c r="A38" s="4" t="n">
        <v>35</v>
      </c>
      <c r="B38" s="20" t="inlineStr">
        <is>
          <t>TIG</t>
        </is>
      </c>
      <c r="C38" s="4" t="inlineStr">
        <is>
          <t>HNX</t>
        </is>
      </c>
      <c r="D38" s="6" t="inlineStr">
        <is>
          <t>CTCP Tập đoàn Đầu tư Thăng Long</t>
        </is>
      </c>
      <c r="E38" s="6" t="inlineStr">
        <is>
          <t>Bất động sản</t>
        </is>
      </c>
      <c r="F38" s="6" t="inlineStr">
        <is>
          <t>Tài chính</t>
        </is>
      </c>
      <c r="G38" s="4" t="inlineStr">
        <is>
          <t>Thành viên</t>
        </is>
      </c>
      <c r="H38" s="8" t="n">
        <v>670120</v>
      </c>
      <c r="I38" s="9" t="n">
        <v>5700</v>
      </c>
      <c r="J38" s="24" t="inlineStr">
        <is>
          <t>Cổ tức cổ phiếu</t>
        </is>
      </c>
      <c r="K38" s="4" t="inlineStr">
        <is>
          <t>Có</t>
        </is>
      </c>
      <c r="L38" s="12" t="inlineStr">
        <is>
          <t>Có</t>
        </is>
      </c>
      <c r="M38" s="6" t="inlineStr">
        <is>
          <t>2019, 2016</t>
        </is>
      </c>
      <c r="N38" s="6" t="inlineStr">
        <is>
          <t>2023, 2022, 2021, 2020, 2018, 2017, 2016, 2015</t>
        </is>
      </c>
      <c r="O38" s="6" t="inlineStr">
        <is>
          <t>Tiền mặt (2019, 2016); Cổ tức CP (2023, 2022, 2021, 2020, 2018, 2017, 2016, 2015)</t>
        </is>
      </c>
    </row>
    <row r="39" ht="22" customHeight="1">
      <c r="A39" s="13" t="n">
        <v>36</v>
      </c>
      <c r="B39" s="5" t="inlineStr">
        <is>
          <t>NTL</t>
        </is>
      </c>
      <c r="C39" s="13" t="inlineStr">
        <is>
          <t>HOSE</t>
        </is>
      </c>
      <c r="D39" s="14" t="inlineStr">
        <is>
          <t>CTCP Phát triển Đô thị Từ Liêm</t>
        </is>
      </c>
      <c r="E39" s="14" t="inlineStr">
        <is>
          <t>Bất động sản</t>
        </is>
      </c>
      <c r="F39" s="14" t="inlineStr">
        <is>
          <t>Tài chính</t>
        </is>
      </c>
      <c r="G39" s="13" t="inlineStr">
        <is>
          <t>Thành viên</t>
        </is>
      </c>
      <c r="H39" s="15" t="n">
        <v>666970</v>
      </c>
      <c r="I39" s="16" t="n">
        <v>12600</v>
      </c>
      <c r="J39" s="17" t="inlineStr">
        <is>
          <t>Cả tiền mặt &amp; cổ phiếu</t>
        </is>
      </c>
      <c r="K39" s="11" t="inlineStr">
        <is>
          <t>Hàng năm</t>
        </is>
      </c>
      <c r="L39" s="12" t="inlineStr">
        <is>
          <t>Có</t>
        </is>
      </c>
      <c r="M39" s="14" t="inlineStr">
        <is>
          <t>2025, 2024, 2023, 2022, 2021, 2020, 2019, 2018</t>
        </is>
      </c>
      <c r="N39" s="14" t="inlineStr">
        <is>
          <t>2024</t>
        </is>
      </c>
      <c r="O39" s="14" t="inlineStr">
        <is>
          <t>Tiền mặt hàng năm (2025, 2024, 2023, 2022, 2021, 2020, 2019, 2018); Cổ tức CP (2024)</t>
        </is>
      </c>
    </row>
    <row r="40" ht="22" customHeight="1">
      <c r="A40" s="4" t="n">
        <v>37</v>
      </c>
      <c r="B40" s="20" t="inlineStr">
        <is>
          <t>LDG</t>
        </is>
      </c>
      <c r="C40" s="4" t="inlineStr">
        <is>
          <t>HOSE</t>
        </is>
      </c>
      <c r="D40" s="6" t="inlineStr">
        <is>
          <t>CTCP Đầu tư LDG</t>
        </is>
      </c>
      <c r="E40" s="6" t="inlineStr">
        <is>
          <t>Bất động sản</t>
        </is>
      </c>
      <c r="F40" s="6" t="inlineStr">
        <is>
          <t>Tài chính</t>
        </is>
      </c>
      <c r="G40" s="4" t="inlineStr">
        <is>
          <t>Thành viên</t>
        </is>
      </c>
      <c r="H40" s="8" t="n">
        <v>528405</v>
      </c>
      <c r="I40" s="9" t="n">
        <v>2570</v>
      </c>
      <c r="J40" s="24" t="inlineStr">
        <is>
          <t>Cổ tức cổ phiếu</t>
        </is>
      </c>
      <c r="K40" s="4" t="inlineStr">
        <is>
          <t>Không</t>
        </is>
      </c>
      <c r="L40" s="12" t="inlineStr">
        <is>
          <t>Có</t>
        </is>
      </c>
      <c r="M40" s="6" t="inlineStr">
        <is>
          <t>-</t>
        </is>
      </c>
      <c r="N40" s="6" t="inlineStr">
        <is>
          <t>2022, 2019, 2018, 2017, 2016</t>
        </is>
      </c>
      <c r="O40" s="6" t="inlineStr">
        <is>
          <t>Cổ tức CP (2022, 2019, 2018, 2017, 2016)</t>
        </is>
      </c>
    </row>
    <row r="41" ht="22" customHeight="1">
      <c r="A41" s="13" t="n">
        <v>38</v>
      </c>
      <c r="B41" s="5" t="inlineStr">
        <is>
          <t>HTN</t>
        </is>
      </c>
      <c r="C41" s="13" t="inlineStr">
        <is>
          <t>HOSE</t>
        </is>
      </c>
      <c r="D41" s="14" t="inlineStr">
        <is>
          <t>CTCP Hưng Thịnh Incons</t>
        </is>
      </c>
      <c r="E41" s="14" t="inlineStr">
        <is>
          <t>Bất động sản</t>
        </is>
      </c>
      <c r="F41" s="14" t="inlineStr">
        <is>
          <t>Tài chính</t>
        </is>
      </c>
      <c r="G41" s="13" t="inlineStr">
        <is>
          <t>Thành viên</t>
        </is>
      </c>
      <c r="H41" s="15" t="n">
        <v>512070</v>
      </c>
      <c r="I41" s="16" t="n">
        <v>6810</v>
      </c>
      <c r="J41" s="17" t="inlineStr">
        <is>
          <t>Cả tiền mặt &amp; cổ phiếu</t>
        </is>
      </c>
      <c r="K41" s="11" t="inlineStr">
        <is>
          <t>Hàng năm</t>
        </is>
      </c>
      <c r="L41" s="12" t="inlineStr">
        <is>
          <t>Có</t>
        </is>
      </c>
      <c r="M41" s="14" t="inlineStr">
        <is>
          <t>2022, 2020, 2019, 2018</t>
        </is>
      </c>
      <c r="N41" s="14" t="inlineStr">
        <is>
          <t>2026, 2021, 2019, 2018</t>
        </is>
      </c>
      <c r="O41" s="14" t="inlineStr">
        <is>
          <t>Tiền mặt hàng năm (2022, 2020, 2019, 2018); Cổ tức CP (2026, 2021, 2019, 2018)</t>
        </is>
      </c>
    </row>
    <row r="42" ht="22" customHeight="1">
      <c r="A42" s="4" t="n">
        <v>39</v>
      </c>
      <c r="B42" s="5" t="inlineStr">
        <is>
          <t>SZC</t>
        </is>
      </c>
      <c r="C42" s="4" t="inlineStr">
        <is>
          <t>HOSE</t>
        </is>
      </c>
      <c r="D42" s="6" t="inlineStr">
        <is>
          <t>CTCP Sonadezi Châu Đức</t>
        </is>
      </c>
      <c r="E42" s="6" t="inlineStr">
        <is>
          <t>Bất động sản</t>
        </is>
      </c>
      <c r="F42" s="6" t="inlineStr">
        <is>
          <t>Tài chính</t>
        </is>
      </c>
      <c r="G42" s="4" t="inlineStr">
        <is>
          <t>Thành viên</t>
        </is>
      </c>
      <c r="H42" s="8" t="n">
        <v>381190</v>
      </c>
      <c r="I42" s="9" t="n">
        <v>17850</v>
      </c>
      <c r="J42" s="10" t="inlineStr">
        <is>
          <t>Cả tiền mặt &amp; cổ phiếu</t>
        </is>
      </c>
      <c r="K42" s="11" t="inlineStr">
        <is>
          <t>Hàng năm</t>
        </is>
      </c>
      <c r="L42" s="12" t="inlineStr">
        <is>
          <t>Có</t>
        </is>
      </c>
      <c r="M42" s="6" t="inlineStr">
        <is>
          <t>2026, 2025, 2024, 2022, 2021, 2019</t>
        </is>
      </c>
      <c r="N42" s="6" t="inlineStr">
        <is>
          <t>2023</t>
        </is>
      </c>
      <c r="O42" s="6" t="inlineStr">
        <is>
          <t>Tiền mặt hàng năm (2026, 2025, 2024, 2022, 2021, 2019); Cổ tức CP (2023)</t>
        </is>
      </c>
    </row>
    <row r="43" ht="22" customHeight="1">
      <c r="A43" s="13" t="n">
        <v>40</v>
      </c>
      <c r="B43" s="20" t="inlineStr">
        <is>
          <t>IDJ</t>
        </is>
      </c>
      <c r="C43" s="13" t="inlineStr">
        <is>
          <t>HNX</t>
        </is>
      </c>
      <c r="D43" s="14" t="inlineStr">
        <is>
          <t>CTCP Đầu tư IDJ Việt Nam</t>
        </is>
      </c>
      <c r="E43" s="14" t="inlineStr">
        <is>
          <t>Bất động sản</t>
        </is>
      </c>
      <c r="F43" s="14" t="inlineStr">
        <is>
          <t>Tài chính</t>
        </is>
      </c>
      <c r="G43" s="13" t="inlineStr">
        <is>
          <t>Thành viên</t>
        </is>
      </c>
      <c r="H43" s="15" t="n">
        <v>339095</v>
      </c>
      <c r="I43" s="16" t="n">
        <v>3400</v>
      </c>
      <c r="J43" s="21" t="inlineStr">
        <is>
          <t>Cổ tức cổ phiếu</t>
        </is>
      </c>
      <c r="K43" s="13" t="inlineStr">
        <is>
          <t>Có</t>
        </is>
      </c>
      <c r="L43" s="12" t="inlineStr">
        <is>
          <t>Có</t>
        </is>
      </c>
      <c r="M43" s="14" t="inlineStr">
        <is>
          <t>2020</t>
        </is>
      </c>
      <c r="N43" s="14" t="inlineStr">
        <is>
          <t>2022, 2021</t>
        </is>
      </c>
      <c r="O43" s="14" t="inlineStr">
        <is>
          <t>Tiền mặt (2020); Cổ tức CP (2022, 2021)</t>
        </is>
      </c>
    </row>
    <row r="44" ht="22" customHeight="1">
      <c r="A44" s="4" t="n">
        <v>41</v>
      </c>
      <c r="B44" s="20" t="inlineStr">
        <is>
          <t>KOS</t>
        </is>
      </c>
      <c r="C44" s="4" t="inlineStr">
        <is>
          <t>HOSE</t>
        </is>
      </c>
      <c r="D44" s="6" t="inlineStr">
        <is>
          <t>CTCP KOSY</t>
        </is>
      </c>
      <c r="E44" s="6" t="inlineStr">
        <is>
          <t>Bất động sản</t>
        </is>
      </c>
      <c r="F44" s="6" t="inlineStr">
        <is>
          <t>Tài chính</t>
        </is>
      </c>
      <c r="G44" s="4" t="inlineStr">
        <is>
          <t>Thành viên</t>
        </is>
      </c>
      <c r="H44" s="8" t="n">
        <v>297225</v>
      </c>
      <c r="I44" s="9" t="n">
        <v>30050</v>
      </c>
      <c r="J44" s="24" t="inlineStr">
        <is>
          <t>Cổ tức cổ phiếu</t>
        </is>
      </c>
      <c r="K44" s="4" t="inlineStr">
        <is>
          <t>Không</t>
        </is>
      </c>
      <c r="L44" s="12" t="inlineStr">
        <is>
          <t>Có</t>
        </is>
      </c>
      <c r="M44" s="6" t="inlineStr">
        <is>
          <t>-</t>
        </is>
      </c>
      <c r="N44" s="6" t="inlineStr">
        <is>
          <t>2021, 2020</t>
        </is>
      </c>
      <c r="O44" s="6" t="inlineStr">
        <is>
          <t>Cổ tức CP (2021, 2020)</t>
        </is>
      </c>
    </row>
    <row r="45" ht="22" customHeight="1">
      <c r="A45" s="13" t="n">
        <v>42</v>
      </c>
      <c r="B45" s="20" t="inlineStr">
        <is>
          <t>AGG</t>
        </is>
      </c>
      <c r="C45" s="13" t="inlineStr">
        <is>
          <t>HOSE</t>
        </is>
      </c>
      <c r="D45" s="14" t="inlineStr">
        <is>
          <t>CTCP Đầu tư và Phát triển Bất động sản An Gia</t>
        </is>
      </c>
      <c r="E45" s="14" t="inlineStr">
        <is>
          <t>Bất động sản</t>
        </is>
      </c>
      <c r="F45" s="14" t="inlineStr">
        <is>
          <t>Tài chính</t>
        </is>
      </c>
      <c r="G45" s="13" t="inlineStr">
        <is>
          <t>Thành viên</t>
        </is>
      </c>
      <c r="H45" s="15" t="n">
        <v>279000</v>
      </c>
      <c r="I45" s="16" t="n">
        <v>10000</v>
      </c>
      <c r="J45" s="21" t="inlineStr">
        <is>
          <t>Cổ tức cổ phiếu</t>
        </is>
      </c>
      <c r="K45" s="13" t="inlineStr">
        <is>
          <t>Không</t>
        </is>
      </c>
      <c r="L45" s="12" t="inlineStr">
        <is>
          <t>Có</t>
        </is>
      </c>
      <c r="M45" s="14" t="inlineStr">
        <is>
          <t>-</t>
        </is>
      </c>
      <c r="N45" s="14" t="inlineStr">
        <is>
          <t>2026, 2024, 2022, 2020</t>
        </is>
      </c>
      <c r="O45" s="14" t="inlineStr">
        <is>
          <t>Cổ tức CP (2026, 2024, 2022, 2020)</t>
        </is>
      </c>
    </row>
    <row r="46" ht="22" customHeight="1">
      <c r="A46" s="4" t="n">
        <v>43</v>
      </c>
      <c r="B46" s="20" t="inlineStr">
        <is>
          <t>CRE</t>
        </is>
      </c>
      <c r="C46" s="4" t="inlineStr">
        <is>
          <t>HOSE</t>
        </is>
      </c>
      <c r="D46" s="6" t="inlineStr">
        <is>
          <t>CTCP Bất động sản Thế Kỷ</t>
        </is>
      </c>
      <c r="E46" s="6" t="inlineStr">
        <is>
          <t>Bất động sản</t>
        </is>
      </c>
      <c r="F46" s="6" t="inlineStr">
        <is>
          <t>Tài chính</t>
        </is>
      </c>
      <c r="G46" s="4" t="inlineStr">
        <is>
          <t>Thành viên</t>
        </is>
      </c>
      <c r="H46" s="8" t="n">
        <v>256285</v>
      </c>
      <c r="I46" s="9" t="n">
        <v>6410</v>
      </c>
      <c r="J46" s="24" t="inlineStr">
        <is>
          <t>Cổ tức cổ phiếu</t>
        </is>
      </c>
      <c r="K46" s="4" t="inlineStr">
        <is>
          <t>Có</t>
        </is>
      </c>
      <c r="L46" s="12" t="inlineStr">
        <is>
          <t>Có</t>
        </is>
      </c>
      <c r="M46" s="6" t="inlineStr">
        <is>
          <t>2020</t>
        </is>
      </c>
      <c r="N46" s="6" t="inlineStr">
        <is>
          <t>2022, 2021, 2020, 2019</t>
        </is>
      </c>
      <c r="O46" s="6" t="inlineStr">
        <is>
          <t>Tiền mặt (2020); Cổ tức CP (2022, 2021, 2020, 2019)</t>
        </is>
      </c>
    </row>
    <row r="47" ht="22" customHeight="1">
      <c r="A47" s="13" t="n">
        <v>44</v>
      </c>
      <c r="B47" s="20" t="inlineStr">
        <is>
          <t>AAV</t>
        </is>
      </c>
      <c r="C47" s="13" t="inlineStr">
        <is>
          <t>UPCOM</t>
        </is>
      </c>
      <c r="D47" s="14" t="inlineStr">
        <is>
          <t>CTCP AAV Group</t>
        </is>
      </c>
      <c r="E47" s="14" t="inlineStr">
        <is>
          <t>Bất động sản</t>
        </is>
      </c>
      <c r="F47" s="14" t="inlineStr">
        <is>
          <t>Tài chính</t>
        </is>
      </c>
      <c r="G47" s="13" t="inlineStr">
        <is>
          <t>Thành viên</t>
        </is>
      </c>
      <c r="H47" s="15" t="n">
        <v>252255</v>
      </c>
      <c r="I47" s="16" t="n">
        <v>5900</v>
      </c>
      <c r="J47" s="21" t="inlineStr">
        <is>
          <t>Cổ tức cổ phiếu</t>
        </is>
      </c>
      <c r="K47" s="13" t="inlineStr">
        <is>
          <t>Có</t>
        </is>
      </c>
      <c r="L47" s="12" t="inlineStr">
        <is>
          <t>Có</t>
        </is>
      </c>
      <c r="M47" s="14" t="inlineStr">
        <is>
          <t>2019</t>
        </is>
      </c>
      <c r="N47" s="14" t="inlineStr">
        <is>
          <t>2022, 2021, 2018</t>
        </is>
      </c>
      <c r="O47" s="14" t="inlineStr">
        <is>
          <t>Tiền mặt (2019); Cổ tức CP (2022, 2021, 2018)</t>
        </is>
      </c>
    </row>
    <row r="48" ht="22" customHeight="1">
      <c r="A48" s="4" t="n">
        <v>45</v>
      </c>
      <c r="B48" s="20" t="inlineStr">
        <is>
          <t>FIR</t>
        </is>
      </c>
      <c r="C48" s="4" t="inlineStr">
        <is>
          <t>HOSE</t>
        </is>
      </c>
      <c r="D48" s="6" t="inlineStr">
        <is>
          <t>CTCP Địa ốc First Real</t>
        </is>
      </c>
      <c r="E48" s="6" t="inlineStr">
        <is>
          <t>Bất động sản</t>
        </is>
      </c>
      <c r="F48" s="6" t="inlineStr">
        <is>
          <t>Tài chính</t>
        </is>
      </c>
      <c r="G48" s="4" t="inlineStr">
        <is>
          <t>Thành viên</t>
        </is>
      </c>
      <c r="H48" s="8" t="n">
        <v>235225</v>
      </c>
      <c r="I48" s="9" t="n">
        <v>2890</v>
      </c>
      <c r="J48" s="24" t="inlineStr">
        <is>
          <t>Cổ tức cổ phiếu</t>
        </is>
      </c>
      <c r="K48" s="4" t="inlineStr">
        <is>
          <t>Không</t>
        </is>
      </c>
      <c r="L48" s="12" t="inlineStr">
        <is>
          <t>Có</t>
        </is>
      </c>
      <c r="M48" s="6" t="inlineStr">
        <is>
          <t>-</t>
        </is>
      </c>
      <c r="N48" s="6" t="inlineStr">
        <is>
          <t>2025, 2023, 2022, 2020</t>
        </is>
      </c>
      <c r="O48" s="6" t="inlineStr">
        <is>
          <t>Cổ tức CP (2025, 2023, 2022, 2020)</t>
        </is>
      </c>
    </row>
    <row r="49" ht="22" customHeight="1">
      <c r="A49" s="13" t="n">
        <v>46</v>
      </c>
      <c r="B49" s="20" t="inlineStr">
        <is>
          <t>DRH</t>
        </is>
      </c>
      <c r="C49" s="13" t="inlineStr">
        <is>
          <t>HOSE</t>
        </is>
      </c>
      <c r="D49" s="14" t="inlineStr">
        <is>
          <t>CTCP DRH Holdings</t>
        </is>
      </c>
      <c r="E49" s="14" t="inlineStr">
        <is>
          <t>Bất động sản</t>
        </is>
      </c>
      <c r="F49" s="14" t="inlineStr">
        <is>
          <t>Tài chính</t>
        </is>
      </c>
      <c r="G49" s="13" t="inlineStr">
        <is>
          <t>Thành viên</t>
        </is>
      </c>
      <c r="H49" s="15" t="n">
        <v>159380</v>
      </c>
      <c r="I49" s="16" t="n">
        <v>1660</v>
      </c>
      <c r="J49" s="21" t="inlineStr">
        <is>
          <t>Cổ tức cổ phiếu</t>
        </is>
      </c>
      <c r="K49" s="13" t="inlineStr">
        <is>
          <t>Không</t>
        </is>
      </c>
      <c r="L49" s="12" t="inlineStr">
        <is>
          <t>Có</t>
        </is>
      </c>
      <c r="M49" s="14" t="inlineStr">
        <is>
          <t>-</t>
        </is>
      </c>
      <c r="N49" s="14" t="inlineStr">
        <is>
          <t>2018</t>
        </is>
      </c>
      <c r="O49" s="14" t="inlineStr">
        <is>
          <t>Cổ tức CP (2018)</t>
        </is>
      </c>
    </row>
    <row r="50" ht="22" customHeight="1">
      <c r="A50" s="4" t="n">
        <v>47</v>
      </c>
      <c r="B50" s="5" t="inlineStr">
        <is>
          <t>DTD</t>
        </is>
      </c>
      <c r="C50" s="4" t="inlineStr">
        <is>
          <t>HNX</t>
        </is>
      </c>
      <c r="D50" s="6" t="inlineStr">
        <is>
          <t>CTCP Đầu tư Phát triển Thành Đạt</t>
        </is>
      </c>
      <c r="E50" s="6" t="inlineStr">
        <is>
          <t>Bất động sản</t>
        </is>
      </c>
      <c r="F50" s="6" t="inlineStr">
        <is>
          <t>Tài chính</t>
        </is>
      </c>
      <c r="G50" s="4" t="inlineStr">
        <is>
          <t>Thành viên</t>
        </is>
      </c>
      <c r="H50" s="8" t="n">
        <v>146020</v>
      </c>
      <c r="I50" s="9" t="n">
        <v>10300</v>
      </c>
      <c r="J50" s="10" t="inlineStr">
        <is>
          <t>Cả tiền mặt &amp; cổ phiếu</t>
        </is>
      </c>
      <c r="K50" s="11" t="inlineStr">
        <is>
          <t>Hàng năm</t>
        </is>
      </c>
      <c r="L50" s="12" t="inlineStr">
        <is>
          <t>Có</t>
        </is>
      </c>
      <c r="M50" s="6" t="inlineStr">
        <is>
          <t>2026, 2021, 2020, 2017</t>
        </is>
      </c>
      <c r="N50" s="6" t="inlineStr">
        <is>
          <t>2026, 2025, 2024, 2023, 2022, 2020, 2019, 2018</t>
        </is>
      </c>
      <c r="O50" s="6" t="inlineStr">
        <is>
          <t>Tiền mặt hàng năm (2026, 2021, 2020, 2017); Cổ tức CP (2026, 2025, 2024, 2023, 2022, 2020, 2019, 2018)</t>
        </is>
      </c>
    </row>
    <row r="51" ht="22" customHeight="1">
      <c r="A51" s="13" t="n">
        <v>48</v>
      </c>
      <c r="B51" s="25" t="inlineStr">
        <is>
          <t>PVL</t>
        </is>
      </c>
      <c r="C51" s="13" t="inlineStr">
        <is>
          <t>UPCOM</t>
        </is>
      </c>
      <c r="D51" s="14" t="inlineStr">
        <is>
          <t>CTCP Địa ốc Dầu khí</t>
        </is>
      </c>
      <c r="E51" s="14" t="inlineStr">
        <is>
          <t>Bất động sản</t>
        </is>
      </c>
      <c r="F51" s="14" t="inlineStr">
        <is>
          <t>Tài chính</t>
        </is>
      </c>
      <c r="G51" s="13" t="inlineStr">
        <is>
          <t>Thành viên</t>
        </is>
      </c>
      <c r="H51" s="15" t="n">
        <v>139642.8571428571</v>
      </c>
      <c r="I51" s="16" t="n">
        <v>1900</v>
      </c>
      <c r="J51" s="26" t="inlineStr">
        <is>
          <t>Chưa chia / Khác</t>
        </is>
      </c>
      <c r="K51" s="13" t="inlineStr">
        <is>
          <t>Không</t>
        </is>
      </c>
      <c r="L51" s="13" t="inlineStr">
        <is>
          <t>Không</t>
        </is>
      </c>
      <c r="M51" s="14" t="inlineStr">
        <is>
          <t>-</t>
        </is>
      </c>
      <c r="N51" s="14" t="inlineStr">
        <is>
          <t>-</t>
        </is>
      </c>
      <c r="O51" s="14" t="inlineStr">
        <is>
          <t>Chưa có lịch sử chia cổ tức</t>
        </is>
      </c>
    </row>
    <row r="52" ht="22" customHeight="1">
      <c r="A52" s="4" t="n">
        <v>49</v>
      </c>
      <c r="B52" s="5" t="inlineStr">
        <is>
          <t>TAL</t>
        </is>
      </c>
      <c r="C52" s="4" t="inlineStr">
        <is>
          <t>HOSE</t>
        </is>
      </c>
      <c r="D52" s="6" t="inlineStr">
        <is>
          <t>CTCP Đầu tư Bất động sản Taseco</t>
        </is>
      </c>
      <c r="E52" s="6" t="inlineStr">
        <is>
          <t>Bất động sản</t>
        </is>
      </c>
      <c r="F52" s="6" t="inlineStr">
        <is>
          <t>Tài chính</t>
        </is>
      </c>
      <c r="G52" s="4" t="inlineStr">
        <is>
          <t>Thành viên</t>
        </is>
      </c>
      <c r="H52" s="8" t="n">
        <v>134185</v>
      </c>
      <c r="I52" s="9" t="n">
        <v>22600</v>
      </c>
      <c r="J52" s="10" t="inlineStr">
        <is>
          <t>Cả tiền mặt &amp; cổ phiếu</t>
        </is>
      </c>
      <c r="K52" s="11" t="inlineStr">
        <is>
          <t>Hàng năm</t>
        </is>
      </c>
      <c r="L52" s="12" t="inlineStr">
        <is>
          <t>Có</t>
        </is>
      </c>
      <c r="M52" s="6" t="inlineStr">
        <is>
          <t>2026, 2025, 2024</t>
        </is>
      </c>
      <c r="N52" s="6" t="inlineStr">
        <is>
          <t>2026</t>
        </is>
      </c>
      <c r="O52" s="6" t="inlineStr">
        <is>
          <t>Tiền mặt hàng năm (2026, 2025, 2024); Cổ tức CP (2026)</t>
        </is>
      </c>
    </row>
    <row r="53" ht="22" customHeight="1">
      <c r="A53" s="13" t="n">
        <v>50</v>
      </c>
      <c r="B53" s="20" t="inlineStr">
        <is>
          <t>KSF</t>
        </is>
      </c>
      <c r="C53" s="13" t="inlineStr">
        <is>
          <t>HNX</t>
        </is>
      </c>
      <c r="D53" s="14" t="inlineStr">
        <is>
          <t>CTCP Tập đoàn Sunshine</t>
        </is>
      </c>
      <c r="E53" s="14" t="inlineStr">
        <is>
          <t>Bất động sản</t>
        </is>
      </c>
      <c r="F53" s="14" t="inlineStr">
        <is>
          <t>Tài chính</t>
        </is>
      </c>
      <c r="G53" s="13" t="inlineStr">
        <is>
          <t>Thành viên</t>
        </is>
      </c>
      <c r="H53" s="15" t="n">
        <v>127575</v>
      </c>
      <c r="I53" s="16" t="n">
        <v>78900</v>
      </c>
      <c r="J53" s="21" t="inlineStr">
        <is>
          <t>Cổ tức cổ phiếu</t>
        </is>
      </c>
      <c r="K53" s="13" t="inlineStr">
        <is>
          <t>Không</t>
        </is>
      </c>
      <c r="L53" s="12" t="inlineStr">
        <is>
          <t>Có</t>
        </is>
      </c>
      <c r="M53" s="14" t="inlineStr">
        <is>
          <t>-</t>
        </is>
      </c>
      <c r="N53" s="14" t="inlineStr">
        <is>
          <t>2025</t>
        </is>
      </c>
      <c r="O53" s="14" t="inlineStr">
        <is>
          <t>Cổ tức CP (2025)</t>
        </is>
      </c>
    </row>
    <row r="54" ht="22" customHeight="1">
      <c r="A54" s="4" t="n">
        <v>51</v>
      </c>
      <c r="B54" s="20" t="inlineStr">
        <is>
          <t>QCG</t>
        </is>
      </c>
      <c r="C54" s="4" t="inlineStr">
        <is>
          <t>HOSE</t>
        </is>
      </c>
      <c r="D54" s="6" t="inlineStr">
        <is>
          <t>CTCP Quốc Cường Gia Lai</t>
        </is>
      </c>
      <c r="E54" s="6" t="inlineStr">
        <is>
          <t>Bất động sản</t>
        </is>
      </c>
      <c r="F54" s="6" t="inlineStr">
        <is>
          <t>Tài chính</t>
        </is>
      </c>
      <c r="G54" s="4" t="inlineStr">
        <is>
          <t>Thành viên</t>
        </is>
      </c>
      <c r="H54" s="8" t="n">
        <v>114405</v>
      </c>
      <c r="I54" s="9" t="n">
        <v>10100</v>
      </c>
      <c r="J54" s="24" t="inlineStr">
        <is>
          <t>Cổ tức cổ phiếu</t>
        </is>
      </c>
      <c r="K54" s="4" t="inlineStr">
        <is>
          <t>Có</t>
        </is>
      </c>
      <c r="L54" s="12" t="inlineStr">
        <is>
          <t>Có</t>
        </is>
      </c>
      <c r="M54" s="6" t="inlineStr">
        <is>
          <t>2018, 2017</t>
        </is>
      </c>
      <c r="N54" s="6" t="inlineStr">
        <is>
          <t>2014</t>
        </is>
      </c>
      <c r="O54" s="6" t="inlineStr">
        <is>
          <t>Tiền mặt (2018, 2017); Cổ tức CP (2014)</t>
        </is>
      </c>
    </row>
    <row r="55" ht="22" customHeight="1">
      <c r="A55" s="13" t="n">
        <v>52</v>
      </c>
      <c r="B55" s="5" t="inlineStr">
        <is>
          <t>NDN</t>
        </is>
      </c>
      <c r="C55" s="13" t="inlineStr">
        <is>
          <t>HNX</t>
        </is>
      </c>
      <c r="D55" s="14" t="inlineStr">
        <is>
          <t>CTCP Đầu tư Phát triển Nhà Đà Nẵng</t>
        </is>
      </c>
      <c r="E55" s="14" t="inlineStr">
        <is>
          <t>Bất động sản</t>
        </is>
      </c>
      <c r="F55" s="14" t="inlineStr">
        <is>
          <t>Tài chính</t>
        </is>
      </c>
      <c r="G55" s="13" t="inlineStr">
        <is>
          <t>Thành viên</t>
        </is>
      </c>
      <c r="H55" s="15" t="n">
        <v>98145</v>
      </c>
      <c r="I55" s="16" t="n">
        <v>9000</v>
      </c>
      <c r="J55" s="17" t="inlineStr">
        <is>
          <t>Cả tiền mặt &amp; cổ phiếu</t>
        </is>
      </c>
      <c r="K55" s="11" t="inlineStr">
        <is>
          <t>Hàng năm</t>
        </is>
      </c>
      <c r="L55" s="12" t="inlineStr">
        <is>
          <t>Có</t>
        </is>
      </c>
      <c r="M55" s="14" t="inlineStr">
        <is>
          <t>2025, 2021, 2019, 2018, 2017, 2015, 2014</t>
        </is>
      </c>
      <c r="N55" s="14" t="inlineStr">
        <is>
          <t>2021, 2020, 2018, 2014</t>
        </is>
      </c>
      <c r="O55" s="14" t="inlineStr">
        <is>
          <t>Tiền mặt hàng năm (2025, 2021, 2019, 2018, 2017, 2015, 2014); Cổ tức CP (2021, 2020, 2018, 2014)</t>
        </is>
      </c>
    </row>
    <row r="56" ht="22" customHeight="1">
      <c r="A56" s="4" t="n">
        <v>53</v>
      </c>
      <c r="B56" s="5" t="inlineStr">
        <is>
          <t>API</t>
        </is>
      </c>
      <c r="C56" s="4" t="inlineStr">
        <is>
          <t>HNX</t>
        </is>
      </c>
      <c r="D56" s="6" t="inlineStr">
        <is>
          <t>CTCP Đầu tư Châu Á - Thái Bình Dương</t>
        </is>
      </c>
      <c r="E56" s="6" t="inlineStr">
        <is>
          <t>Bất động sản</t>
        </is>
      </c>
      <c r="F56" s="6" t="inlineStr">
        <is>
          <t>Tài chính</t>
        </is>
      </c>
      <c r="G56" s="4" t="inlineStr">
        <is>
          <t>Thành viên</t>
        </is>
      </c>
      <c r="H56" s="8" t="n">
        <v>97215</v>
      </c>
      <c r="I56" s="9" t="n">
        <v>5400</v>
      </c>
      <c r="J56" s="10" t="inlineStr">
        <is>
          <t>Cả tiền mặt &amp; cổ phiếu</t>
        </is>
      </c>
      <c r="K56" s="11" t="inlineStr">
        <is>
          <t>Hàng năm</t>
        </is>
      </c>
      <c r="L56" s="12" t="inlineStr">
        <is>
          <t>Có</t>
        </is>
      </c>
      <c r="M56" s="6" t="inlineStr">
        <is>
          <t>2021, 2020</t>
        </is>
      </c>
      <c r="N56" s="6" t="inlineStr">
        <is>
          <t>2022</t>
        </is>
      </c>
      <c r="O56" s="6" t="inlineStr">
        <is>
          <t>Tiền mặt hàng năm (2021, 2020); Cổ tức CP (2022)</t>
        </is>
      </c>
    </row>
    <row r="57" ht="22" customHeight="1">
      <c r="A57" s="13" t="n">
        <v>54</v>
      </c>
      <c r="B57" s="20" t="inlineStr">
        <is>
          <t>TEG</t>
        </is>
      </c>
      <c r="C57" s="13" t="inlineStr">
        <is>
          <t>HOSE</t>
        </is>
      </c>
      <c r="D57" s="14" t="inlineStr">
        <is>
          <t>CTCP Trường Thành Energy Group</t>
        </is>
      </c>
      <c r="E57" s="14" t="inlineStr">
        <is>
          <t>Bất động sản</t>
        </is>
      </c>
      <c r="F57" s="14" t="inlineStr">
        <is>
          <t>Tài chính</t>
        </is>
      </c>
      <c r="G57" s="13" t="inlineStr">
        <is>
          <t>Thành viên</t>
        </is>
      </c>
      <c r="H57" s="15" t="n">
        <v>82500</v>
      </c>
      <c r="I57" s="16" t="n">
        <v>5940</v>
      </c>
      <c r="J57" s="21" t="inlineStr">
        <is>
          <t>Cổ tức cổ phiếu</t>
        </is>
      </c>
      <c r="K57" s="13" t="inlineStr">
        <is>
          <t>Không</t>
        </is>
      </c>
      <c r="L57" s="12" t="inlineStr">
        <is>
          <t>Có</t>
        </is>
      </c>
      <c r="M57" s="14" t="inlineStr">
        <is>
          <t>-</t>
        </is>
      </c>
      <c r="N57" s="14" t="inlineStr">
        <is>
          <t>2023, 2021, 2019, 2018, 2017</t>
        </is>
      </c>
      <c r="O57" s="14" t="inlineStr">
        <is>
          <t>Cổ tức CP (2023, 2021, 2019, 2018, 2017)</t>
        </is>
      </c>
    </row>
    <row r="58" ht="22" customHeight="1">
      <c r="A58" s="4" t="n">
        <v>55</v>
      </c>
      <c r="B58" s="5" t="inlineStr">
        <is>
          <t>LHG</t>
        </is>
      </c>
      <c r="C58" s="4" t="inlineStr">
        <is>
          <t>HOSE</t>
        </is>
      </c>
      <c r="D58" s="6" t="inlineStr">
        <is>
          <t>CTCP Long Hậu</t>
        </is>
      </c>
      <c r="E58" s="6" t="inlineStr">
        <is>
          <t>Bất động sản</t>
        </is>
      </c>
      <c r="F58" s="6" t="inlineStr">
        <is>
          <t>Tài chính</t>
        </is>
      </c>
      <c r="G58" s="4" t="inlineStr">
        <is>
          <t>Thành viên</t>
        </is>
      </c>
      <c r="H58" s="8" t="n">
        <v>77960</v>
      </c>
      <c r="I58" s="9" t="n">
        <v>26800</v>
      </c>
      <c r="J58" s="10" t="inlineStr">
        <is>
          <t>Cả tiền mặt &amp; cổ phiếu</t>
        </is>
      </c>
      <c r="K58" s="11" t="inlineStr">
        <is>
          <t>Hàng năm</t>
        </is>
      </c>
      <c r="L58" s="12" t="inlineStr">
        <is>
          <t>Có</t>
        </is>
      </c>
      <c r="M58" s="6" t="inlineStr">
        <is>
          <t>2026, 2025, 2024, 2023, 2022, 2021, 2020, 2019</t>
        </is>
      </c>
      <c r="N58" s="6" t="inlineStr">
        <is>
          <t>2011</t>
        </is>
      </c>
      <c r="O58" s="6" t="inlineStr">
        <is>
          <t>Tiền mặt hàng năm (2026, 2025, 2024, 2023, 2022, 2021, 2020, 2019); Cổ tức CP (2011)</t>
        </is>
      </c>
    </row>
    <row r="59" ht="22" customHeight="1">
      <c r="A59" s="13" t="n">
        <v>56</v>
      </c>
      <c r="B59" s="5" t="inlineStr">
        <is>
          <t>SIP</t>
        </is>
      </c>
      <c r="C59" s="13" t="inlineStr">
        <is>
          <t>HOSE</t>
        </is>
      </c>
      <c r="D59" s="14" t="inlineStr">
        <is>
          <t>CTCP Đầu tư Sài Gòn VRG</t>
        </is>
      </c>
      <c r="E59" s="14" t="inlineStr">
        <is>
          <t>Bất động sản</t>
        </is>
      </c>
      <c r="F59" s="14" t="inlineStr">
        <is>
          <t>Tài chính</t>
        </is>
      </c>
      <c r="G59" s="13" t="inlineStr">
        <is>
          <t>Thành viên</t>
        </is>
      </c>
      <c r="H59" s="15" t="n">
        <v>73445</v>
      </c>
      <c r="I59" s="16" t="n">
        <v>49500</v>
      </c>
      <c r="J59" s="17" t="inlineStr">
        <is>
          <t>Cả tiền mặt &amp; cổ phiếu</t>
        </is>
      </c>
      <c r="K59" s="11" t="inlineStr">
        <is>
          <t>Hàng năm</t>
        </is>
      </c>
      <c r="L59" s="12" t="inlineStr">
        <is>
          <t>Có</t>
        </is>
      </c>
      <c r="M59" s="14" t="inlineStr">
        <is>
          <t>2025, 2024, 2023, 2022, 2021, 2020, 2019</t>
        </is>
      </c>
      <c r="N59" s="14" t="inlineStr">
        <is>
          <t>2025, 2024, 2023, 2021, 2020</t>
        </is>
      </c>
      <c r="O59" s="14" t="inlineStr">
        <is>
          <t>Tiền mặt hàng năm (2025, 2024, 2023, 2022, 2021, 2020, 2019); Cổ tức CP (2025, 2024, 2023, 2021, 2020)</t>
        </is>
      </c>
    </row>
    <row r="60" ht="22" customHeight="1">
      <c r="A60" s="4" t="n">
        <v>57</v>
      </c>
      <c r="B60" s="20" t="inlineStr">
        <is>
          <t>PIV</t>
        </is>
      </c>
      <c r="C60" s="4" t="inlineStr">
        <is>
          <t>UPCOM</t>
        </is>
      </c>
      <c r="D60" s="6" t="inlineStr">
        <is>
          <t>CTCP PIV</t>
        </is>
      </c>
      <c r="E60" s="6" t="inlineStr">
        <is>
          <t>Bất động sản</t>
        </is>
      </c>
      <c r="F60" s="6" t="inlineStr">
        <is>
          <t>Tài chính</t>
        </is>
      </c>
      <c r="G60" s="4" t="inlineStr">
        <is>
          <t>Thành viên</t>
        </is>
      </c>
      <c r="H60" s="8" t="n">
        <v>59555</v>
      </c>
      <c r="I60" s="9" t="n">
        <v>6800</v>
      </c>
      <c r="J60" s="24" t="inlineStr">
        <is>
          <t>Cổ tức cổ phiếu</t>
        </is>
      </c>
      <c r="K60" s="4" t="inlineStr">
        <is>
          <t>Có</t>
        </is>
      </c>
      <c r="L60" s="12" t="inlineStr">
        <is>
          <t>Có</t>
        </is>
      </c>
      <c r="M60" s="6" t="inlineStr">
        <is>
          <t>2016</t>
        </is>
      </c>
      <c r="N60" s="6" t="inlineStr">
        <is>
          <t>2017, 2016</t>
        </is>
      </c>
      <c r="O60" s="6" t="inlineStr">
        <is>
          <t>Tiền mặt (2016); Cổ tức CP (2017, 2016)</t>
        </is>
      </c>
    </row>
    <row r="61" ht="22" customHeight="1">
      <c r="A61" s="13" t="n">
        <v>58</v>
      </c>
      <c r="B61" s="25" t="inlineStr">
        <is>
          <t>EFI</t>
        </is>
      </c>
      <c r="C61" s="13" t="inlineStr">
        <is>
          <t>UPCOM</t>
        </is>
      </c>
      <c r="D61" s="14" t="inlineStr">
        <is>
          <t>CTCP Đầu tư Tài chính Giáo dục</t>
        </is>
      </c>
      <c r="E61" s="14" t="inlineStr">
        <is>
          <t>Bất động sản</t>
        </is>
      </c>
      <c r="F61" s="14" t="inlineStr">
        <is>
          <t>Tài chính</t>
        </is>
      </c>
      <c r="G61" s="13" t="inlineStr">
        <is>
          <t>Thành viên</t>
        </is>
      </c>
      <c r="H61" s="15" t="n">
        <v>59075</v>
      </c>
      <c r="I61" s="16" t="n">
        <v>2100</v>
      </c>
      <c r="J61" s="26" t="inlineStr">
        <is>
          <t>Tiền mặt không đều</t>
        </is>
      </c>
      <c r="K61" s="13" t="inlineStr">
        <is>
          <t>Có</t>
        </is>
      </c>
      <c r="L61" s="13" t="inlineStr">
        <is>
          <t>Không</t>
        </is>
      </c>
      <c r="M61" s="14" t="inlineStr">
        <is>
          <t>2013, 2012</t>
        </is>
      </c>
      <c r="N61" s="14" t="inlineStr">
        <is>
          <t>-</t>
        </is>
      </c>
      <c r="O61" s="14" t="inlineStr">
        <is>
          <t>Tiền mặt (2013, 2012)</t>
        </is>
      </c>
    </row>
    <row r="62" ht="22" customHeight="1">
      <c r="A62" s="4" t="n">
        <v>59</v>
      </c>
      <c r="B62" s="5" t="inlineStr">
        <is>
          <t>CKG</t>
        </is>
      </c>
      <c r="C62" s="4" t="inlineStr">
        <is>
          <t>HOSE</t>
        </is>
      </c>
      <c r="D62" s="6" t="inlineStr">
        <is>
          <t>CTCP Tập đoàn CIC</t>
        </is>
      </c>
      <c r="E62" s="6" t="inlineStr">
        <is>
          <t>Bất động sản</t>
        </is>
      </c>
      <c r="F62" s="6" t="inlineStr">
        <is>
          <t>Tài chính</t>
        </is>
      </c>
      <c r="G62" s="4" t="inlineStr">
        <is>
          <t>Thành viên</t>
        </is>
      </c>
      <c r="H62" s="8" t="n">
        <v>55375</v>
      </c>
      <c r="I62" s="9" t="n">
        <v>5780</v>
      </c>
      <c r="J62" s="10" t="inlineStr">
        <is>
          <t>Cả tiền mặt &amp; cổ phiếu</t>
        </is>
      </c>
      <c r="K62" s="11" t="inlineStr">
        <is>
          <t>Hàng năm</t>
        </is>
      </c>
      <c r="L62" s="12" t="inlineStr">
        <is>
          <t>Có</t>
        </is>
      </c>
      <c r="M62" s="6" t="inlineStr">
        <is>
          <t>2021, 2020</t>
        </is>
      </c>
      <c r="N62" s="6" t="inlineStr">
        <is>
          <t>2025, 2022, 2020</t>
        </is>
      </c>
      <c r="O62" s="6" t="inlineStr">
        <is>
          <t>Tiền mặt hàng năm (2021, 2020); Cổ tức CP (2025, 2022, 2020)</t>
        </is>
      </c>
    </row>
    <row r="63" ht="22" customHeight="1">
      <c r="A63" s="13" t="n">
        <v>60</v>
      </c>
      <c r="B63" s="20" t="inlineStr">
        <is>
          <t>HAR</t>
        </is>
      </c>
      <c r="C63" s="13" t="inlineStr">
        <is>
          <t>HOSE</t>
        </is>
      </c>
      <c r="D63" s="14" t="inlineStr">
        <is>
          <t>CTCP Đầu tư Thương mại Bất động sản An Dương Thảo Điền</t>
        </is>
      </c>
      <c r="E63" s="14" t="inlineStr">
        <is>
          <t>Bất động sản</t>
        </is>
      </c>
      <c r="F63" s="14" t="inlineStr">
        <is>
          <t>Tài chính</t>
        </is>
      </c>
      <c r="G63" s="13" t="inlineStr">
        <is>
          <t>Thành viên</t>
        </is>
      </c>
      <c r="H63" s="15" t="n">
        <v>54375</v>
      </c>
      <c r="I63" s="16" t="n">
        <v>2430</v>
      </c>
      <c r="J63" s="21" t="inlineStr">
        <is>
          <t>Cổ tức cổ phiếu</t>
        </is>
      </c>
      <c r="K63" s="13" t="inlineStr">
        <is>
          <t>Không</t>
        </is>
      </c>
      <c r="L63" s="12" t="inlineStr">
        <is>
          <t>Có</t>
        </is>
      </c>
      <c r="M63" s="14" t="inlineStr">
        <is>
          <t>-</t>
        </is>
      </c>
      <c r="N63" s="14" t="inlineStr">
        <is>
          <t>2017, 2015, 2013</t>
        </is>
      </c>
      <c r="O63" s="14" t="inlineStr">
        <is>
          <t>Cổ tức CP (2017, 2015, 2013)</t>
        </is>
      </c>
    </row>
    <row r="64" ht="22" customHeight="1">
      <c r="A64" s="4" t="n">
        <v>61</v>
      </c>
      <c r="B64" s="5" t="inlineStr">
        <is>
          <t>ITC</t>
        </is>
      </c>
      <c r="C64" s="4" t="inlineStr">
        <is>
          <t>HOSE</t>
        </is>
      </c>
      <c r="D64" s="6" t="inlineStr">
        <is>
          <t>CTCP Đầu tư và Kinh doanh Nhà</t>
        </is>
      </c>
      <c r="E64" s="6" t="inlineStr">
        <is>
          <t>Bất động sản</t>
        </is>
      </c>
      <c r="F64" s="6" t="inlineStr">
        <is>
          <t>Tài chính</t>
        </is>
      </c>
      <c r="G64" s="4" t="inlineStr">
        <is>
          <t>Thành viên</t>
        </is>
      </c>
      <c r="H64" s="8" t="n">
        <v>50860</v>
      </c>
      <c r="I64" s="9" t="n">
        <v>8970</v>
      </c>
      <c r="J64" s="10" t="inlineStr">
        <is>
          <t>Cả tiền mặt &amp; cổ phiếu</t>
        </is>
      </c>
      <c r="K64" s="11" t="inlineStr">
        <is>
          <t>Hàng năm</t>
        </is>
      </c>
      <c r="L64" s="12" t="inlineStr">
        <is>
          <t>Có</t>
        </is>
      </c>
      <c r="M64" s="6" t="inlineStr">
        <is>
          <t>2026, 2020, 2018, 2012, 2010, 2009</t>
        </is>
      </c>
      <c r="N64" s="6" t="inlineStr">
        <is>
          <t>2026, 2022, 2021, 2020</t>
        </is>
      </c>
      <c r="O64" s="6" t="inlineStr">
        <is>
          <t>Tiền mặt hàng năm (2026, 2020, 2018, 2012, 2010, 2009); Cổ tức CP (2026, 2022, 2021, 2020)</t>
        </is>
      </c>
    </row>
    <row r="65" ht="22" customHeight="1">
      <c r="A65" s="13" t="n">
        <v>62</v>
      </c>
      <c r="B65" s="5" t="inlineStr">
        <is>
          <t>D2D</t>
        </is>
      </c>
      <c r="C65" s="13" t="inlineStr">
        <is>
          <t>HOSE</t>
        </is>
      </c>
      <c r="D65" s="14" t="inlineStr">
        <is>
          <t>CTCP Phát triển Đô thị Công nghiệp số 2</t>
        </is>
      </c>
      <c r="E65" s="14" t="inlineStr">
        <is>
          <t>Bất động sản</t>
        </is>
      </c>
      <c r="F65" s="14" t="inlineStr">
        <is>
          <t>Tài chính</t>
        </is>
      </c>
      <c r="G65" s="13" t="inlineStr">
        <is>
          <t>Thành viên</t>
        </is>
      </c>
      <c r="H65" s="15" t="n">
        <v>50405</v>
      </c>
      <c r="I65" s="16" t="n">
        <v>30600</v>
      </c>
      <c r="J65" s="17" t="inlineStr">
        <is>
          <t>Cả tiền mặt &amp; cổ phiếu</t>
        </is>
      </c>
      <c r="K65" s="11" t="inlineStr">
        <is>
          <t>Hàng năm</t>
        </is>
      </c>
      <c r="L65" s="12" t="inlineStr">
        <is>
          <t>Có</t>
        </is>
      </c>
      <c r="M65" s="14" t="inlineStr">
        <is>
          <t>2025, 2024, 2023, 2022, 2021, 2020, 2019, 2018</t>
        </is>
      </c>
      <c r="N65" s="14" t="inlineStr">
        <is>
          <t>2020, 2019</t>
        </is>
      </c>
      <c r="O65" s="14" t="inlineStr">
        <is>
          <t>Tiền mặt hàng năm (2025, 2024, 2023, 2022, 2021, 2020, 2019, 2018); Cổ tức CP (2020, 2019)</t>
        </is>
      </c>
    </row>
    <row r="66" ht="22" customHeight="1">
      <c r="A66" s="4" t="n">
        <v>63</v>
      </c>
      <c r="B66" s="5" t="inlineStr">
        <is>
          <t>FPT</t>
        </is>
      </c>
      <c r="C66" s="4" t="inlineStr">
        <is>
          <t>HOSE</t>
        </is>
      </c>
      <c r="D66" s="6" t="inlineStr">
        <is>
          <t>CTCP FPT</t>
        </is>
      </c>
      <c r="E66" s="6" t="inlineStr">
        <is>
          <t>Công nghệ Thông tin</t>
        </is>
      </c>
      <c r="F66" s="6" t="inlineStr">
        <is>
          <t>Công nghệ Thông tin</t>
        </is>
      </c>
      <c r="G66" s="7" t="inlineStr">
        <is>
          <t>⭐ Đầu ngành</t>
        </is>
      </c>
      <c r="H66" s="8" t="n">
        <v>6272705</v>
      </c>
      <c r="I66" s="9" t="n">
        <v>65180.00000000001</v>
      </c>
      <c r="J66" s="10" t="inlineStr">
        <is>
          <t>Cả tiền mặt &amp; cổ phiếu</t>
        </is>
      </c>
      <c r="K66" s="11" t="inlineStr">
        <is>
          <t>Hàng năm</t>
        </is>
      </c>
      <c r="L66" s="12" t="inlineStr">
        <is>
          <t>Có</t>
        </is>
      </c>
      <c r="M66" s="6" t="inlineStr">
        <is>
          <t>2026, 2025, 2024, 2023, 2022, 2021, 2020, 2019</t>
        </is>
      </c>
      <c r="N66" s="6" t="inlineStr">
        <is>
          <t>2026, 2025, 2024, 2023, 2022, 2021, 2020, 2019</t>
        </is>
      </c>
      <c r="O66" s="6" t="inlineStr">
        <is>
          <t>Tiền mặt hàng năm (2026, 2025, 2024, 2023, 2022, 2021, 2020, 2019); Cổ tức CP (2026, 2025, 2024, 2023, 2022, 2021, 2020, 2019)</t>
        </is>
      </c>
    </row>
    <row r="67" ht="22" customHeight="1">
      <c r="A67" s="13" t="n">
        <v>64</v>
      </c>
      <c r="B67" s="5" t="inlineStr">
        <is>
          <t>ELC</t>
        </is>
      </c>
      <c r="C67" s="13" t="inlineStr">
        <is>
          <t>HOSE</t>
        </is>
      </c>
      <c r="D67" s="14" t="inlineStr">
        <is>
          <t>CTCP Công Nghệ - Viễn Thông Elcom</t>
        </is>
      </c>
      <c r="E67" s="14" t="inlineStr">
        <is>
          <t>Công nghệ Thông tin</t>
        </is>
      </c>
      <c r="F67" s="14" t="inlineStr">
        <is>
          <t>Công nghệ Thông tin</t>
        </is>
      </c>
      <c r="G67" s="7" t="inlineStr">
        <is>
          <t>⭐ Đầu ngành</t>
        </is>
      </c>
      <c r="H67" s="15" t="n">
        <v>263840</v>
      </c>
      <c r="I67" s="16" t="n">
        <v>13450</v>
      </c>
      <c r="J67" s="17" t="inlineStr">
        <is>
          <t>Cả tiền mặt &amp; cổ phiếu</t>
        </is>
      </c>
      <c r="K67" s="11" t="inlineStr">
        <is>
          <t>Hàng năm</t>
        </is>
      </c>
      <c r="L67" s="12" t="inlineStr">
        <is>
          <t>Có</t>
        </is>
      </c>
      <c r="M67" s="14" t="inlineStr">
        <is>
          <t>2021, 2017, 2016, 2015, 2014, 2013, 2012, 2010</t>
        </is>
      </c>
      <c r="N67" s="14" t="inlineStr">
        <is>
          <t>2026, 2025, 2023, 2022, 2017, 2016, 2015, 2012</t>
        </is>
      </c>
      <c r="O67" s="14" t="inlineStr">
        <is>
          <t>Tiền mặt hàng năm (2021, 2017, 2016, 2015, 2014, 2013, 2012, 2010); Cổ tức CP (2026, 2025, 2023, 2022, 2017, 2016, 2015, 2012)</t>
        </is>
      </c>
    </row>
    <row r="68" ht="22" customHeight="1">
      <c r="A68" s="4" t="n">
        <v>65</v>
      </c>
      <c r="B68" s="5" t="inlineStr">
        <is>
          <t>CMG</t>
        </is>
      </c>
      <c r="C68" s="4" t="inlineStr">
        <is>
          <t>HOSE</t>
        </is>
      </c>
      <c r="D68" s="6" t="inlineStr">
        <is>
          <t>CTCP Tập đoàn Công nghệ CMC</t>
        </is>
      </c>
      <c r="E68" s="6" t="inlineStr">
        <is>
          <t>Công nghệ Thông tin</t>
        </is>
      </c>
      <c r="F68" s="6" t="inlineStr">
        <is>
          <t>Công nghệ Thông tin</t>
        </is>
      </c>
      <c r="G68" s="7" t="inlineStr">
        <is>
          <t>⭐ Đầu ngành</t>
        </is>
      </c>
      <c r="H68" s="8" t="n">
        <v>123855</v>
      </c>
      <c r="I68" s="9" t="n">
        <v>23100</v>
      </c>
      <c r="J68" s="10" t="inlineStr">
        <is>
          <t>Cả tiền mặt &amp; cổ phiếu</t>
        </is>
      </c>
      <c r="K68" s="11" t="inlineStr">
        <is>
          <t>Hàng năm</t>
        </is>
      </c>
      <c r="L68" s="12" t="inlineStr">
        <is>
          <t>Có</t>
        </is>
      </c>
      <c r="M68" s="6" t="inlineStr">
        <is>
          <t>2023, 2020, 2019, 2018, 2017, 2016, 2010</t>
        </is>
      </c>
      <c r="N68" s="6" t="inlineStr">
        <is>
          <t>2026, 2024, 2023, 2022, 2019, 2018</t>
        </is>
      </c>
      <c r="O68" s="6" t="inlineStr">
        <is>
          <t>Tiền mặt hàng năm (2023, 2020, 2019, 2018, 2017, 2016, 2010); Cổ tức CP (2026, 2024, 2023, 2022, 2019, 2018)</t>
        </is>
      </c>
    </row>
    <row r="69" ht="22" customHeight="1">
      <c r="A69" s="13" t="n">
        <v>66</v>
      </c>
      <c r="B69" s="5" t="inlineStr">
        <is>
          <t>SAM</t>
        </is>
      </c>
      <c r="C69" s="13" t="inlineStr">
        <is>
          <t>HOSE</t>
        </is>
      </c>
      <c r="D69" s="14" t="inlineStr">
        <is>
          <t>CTCP SAM Holdings</t>
        </is>
      </c>
      <c r="E69" s="14" t="inlineStr">
        <is>
          <t>Công nghệ Thông tin</t>
        </is>
      </c>
      <c r="F69" s="14" t="inlineStr">
        <is>
          <t>Công nghệ Thông tin</t>
        </is>
      </c>
      <c r="G69" s="13" t="inlineStr">
        <is>
          <t>Thành viên</t>
        </is>
      </c>
      <c r="H69" s="15" t="n">
        <v>93120</v>
      </c>
      <c r="I69" s="16" t="n">
        <v>6200</v>
      </c>
      <c r="J69" s="17" t="inlineStr">
        <is>
          <t>Cả tiền mặt &amp; cổ phiếu</t>
        </is>
      </c>
      <c r="K69" s="11" t="inlineStr">
        <is>
          <t>Hàng năm</t>
        </is>
      </c>
      <c r="L69" s="12" t="inlineStr">
        <is>
          <t>Có</t>
        </is>
      </c>
      <c r="M69" s="14" t="inlineStr">
        <is>
          <t>2015, 2014, 2010, 2009, 2008, 2007</t>
        </is>
      </c>
      <c r="N69" s="14" t="inlineStr">
        <is>
          <t>2026, 2022, 2019, 2018, 2017, 2015</t>
        </is>
      </c>
      <c r="O69" s="14" t="inlineStr">
        <is>
          <t>Tiền mặt hàng năm (2015, 2014, 2010, 2009, 2008, 2007); Cổ tức CP (2026, 2022, 2019, 2018, 2017, 2015)</t>
        </is>
      </c>
    </row>
    <row r="70" ht="22" customHeight="1">
      <c r="A70" s="4" t="n">
        <v>67</v>
      </c>
      <c r="B70" s="5" t="inlineStr">
        <is>
          <t>ST8</t>
        </is>
      </c>
      <c r="C70" s="4" t="inlineStr">
        <is>
          <t>HOSE</t>
        </is>
      </c>
      <c r="D70" s="6" t="inlineStr">
        <is>
          <t>CTCP Tập đoàn ST8</t>
        </is>
      </c>
      <c r="E70" s="6" t="inlineStr">
        <is>
          <t>Công nghệ Thông tin</t>
        </is>
      </c>
      <c r="F70" s="6" t="inlineStr">
        <is>
          <t>Công nghệ Thông tin</t>
        </is>
      </c>
      <c r="G70" s="4" t="inlineStr">
        <is>
          <t>Thành viên</t>
        </is>
      </c>
      <c r="H70" s="8" t="n">
        <v>75320</v>
      </c>
      <c r="I70" s="9" t="n">
        <v>2010</v>
      </c>
      <c r="J70" s="10" t="inlineStr">
        <is>
          <t>Cả tiền mặt &amp; cổ phiếu</t>
        </is>
      </c>
      <c r="K70" s="11" t="inlineStr">
        <is>
          <t>Hàng năm</t>
        </is>
      </c>
      <c r="L70" s="12" t="inlineStr">
        <is>
          <t>Có</t>
        </is>
      </c>
      <c r="M70" s="6" t="inlineStr">
        <is>
          <t>2022, 2021, 2020, 2019, 2018, 2017, 2016, 2015</t>
        </is>
      </c>
      <c r="N70" s="6" t="inlineStr">
        <is>
          <t>2017, 2016, 2015, 2014, 2013, 2008</t>
        </is>
      </c>
      <c r="O70" s="6" t="inlineStr">
        <is>
          <t>Tiền mặt hàng năm (2022, 2021, 2020, 2019, 2018, 2017, 2016, 2015); Cổ tức CP (2017, 2016, 2015, 2014, 2013, 2008)</t>
        </is>
      </c>
    </row>
    <row r="71" ht="22" customHeight="1">
      <c r="A71" s="13" t="n">
        <v>68</v>
      </c>
      <c r="B71" s="5" t="inlineStr">
        <is>
          <t>VJC</t>
        </is>
      </c>
      <c r="C71" s="13" t="inlineStr">
        <is>
          <t>HOSE</t>
        </is>
      </c>
      <c r="D71" s="14" t="inlineStr">
        <is>
          <t>CTCP Hàng không Vietjet</t>
        </is>
      </c>
      <c r="E71" s="14" t="inlineStr">
        <is>
          <t>Du lịch và Giải trí</t>
        </is>
      </c>
      <c r="F71" s="14" t="inlineStr">
        <is>
          <t>Dịch vụ Tiêu dùng</t>
        </is>
      </c>
      <c r="G71" s="7" t="inlineStr">
        <is>
          <t>⭐ Đầu ngành</t>
        </is>
      </c>
      <c r="H71" s="15" t="n">
        <v>1222740</v>
      </c>
      <c r="I71" s="16" t="n">
        <v>129000</v>
      </c>
      <c r="J71" s="17" t="inlineStr">
        <is>
          <t>Cả tiền mặt &amp; cổ phiếu</t>
        </is>
      </c>
      <c r="K71" s="11" t="inlineStr">
        <is>
          <t>Hàng năm</t>
        </is>
      </c>
      <c r="L71" s="12" t="inlineStr">
        <is>
          <t>Có</t>
        </is>
      </c>
      <c r="M71" s="14" t="inlineStr">
        <is>
          <t>2019, 2018, 2017</t>
        </is>
      </c>
      <c r="N71" s="14" t="inlineStr">
        <is>
          <t>2026, 2018, 2017</t>
        </is>
      </c>
      <c r="O71" s="14" t="inlineStr">
        <is>
          <t>Tiền mặt hàng năm (2019, 2018, 2017); Cổ tức CP (2026, 2018, 2017)</t>
        </is>
      </c>
    </row>
    <row r="72" ht="22" customHeight="1">
      <c r="A72" s="4" t="n">
        <v>69</v>
      </c>
      <c r="B72" s="18" t="inlineStr">
        <is>
          <t>VPL</t>
        </is>
      </c>
      <c r="C72" s="4" t="inlineStr">
        <is>
          <t>HOSE</t>
        </is>
      </c>
      <c r="D72" s="6" t="inlineStr">
        <is>
          <t>CTCP Vinpearl</t>
        </is>
      </c>
      <c r="E72" s="6" t="inlineStr">
        <is>
          <t>Du lịch và Giải trí</t>
        </is>
      </c>
      <c r="F72" s="6" t="inlineStr">
        <is>
          <t>Dịch vụ Tiêu dùng</t>
        </is>
      </c>
      <c r="G72" s="7" t="inlineStr">
        <is>
          <t>⭐ Đầu ngành</t>
        </is>
      </c>
      <c r="H72" s="8" t="n">
        <v>1046550</v>
      </c>
      <c r="I72" s="9" t="n">
        <v>81200</v>
      </c>
      <c r="J72" s="19" t="inlineStr">
        <is>
          <t>Chưa chia / Khác</t>
        </is>
      </c>
      <c r="K72" s="4" t="inlineStr">
        <is>
          <t>Không</t>
        </is>
      </c>
      <c r="L72" s="4" t="inlineStr">
        <is>
          <t>Không</t>
        </is>
      </c>
      <c r="M72" s="6" t="inlineStr">
        <is>
          <t>-</t>
        </is>
      </c>
      <c r="N72" s="6" t="inlineStr">
        <is>
          <t>-</t>
        </is>
      </c>
      <c r="O72" s="6" t="inlineStr">
        <is>
          <t>Chưa có lịch sử chia cổ tức</t>
        </is>
      </c>
    </row>
    <row r="73" ht="22" customHeight="1">
      <c r="A73" s="13" t="n">
        <v>70</v>
      </c>
      <c r="B73" s="22" t="inlineStr">
        <is>
          <t>HVN</t>
        </is>
      </c>
      <c r="C73" s="13" t="inlineStr">
        <is>
          <t>HOSE</t>
        </is>
      </c>
      <c r="D73" s="14" t="inlineStr">
        <is>
          <t>Tổng Công ty Hàng không Việt Nam - CTCP</t>
        </is>
      </c>
      <c r="E73" s="14" t="inlineStr">
        <is>
          <t>Du lịch và Giải trí</t>
        </is>
      </c>
      <c r="F73" s="14" t="inlineStr">
        <is>
          <t>Dịch vụ Tiêu dùng</t>
        </is>
      </c>
      <c r="G73" s="7" t="inlineStr">
        <is>
          <t>⭐ Đầu ngành</t>
        </is>
      </c>
      <c r="H73" s="15" t="n">
        <v>750125</v>
      </c>
      <c r="I73" s="16" t="n">
        <v>20900</v>
      </c>
      <c r="J73" s="23" t="inlineStr">
        <is>
          <t>Tiền mặt hàng năm</t>
        </is>
      </c>
      <c r="K73" s="11" t="inlineStr">
        <is>
          <t>Hàng năm</t>
        </is>
      </c>
      <c r="L73" s="13" t="inlineStr">
        <is>
          <t>Không</t>
        </is>
      </c>
      <c r="M73" s="14" t="inlineStr">
        <is>
          <t>2019, 2018, 2017</t>
        </is>
      </c>
      <c r="N73" s="14" t="inlineStr">
        <is>
          <t>-</t>
        </is>
      </c>
      <c r="O73" s="14" t="inlineStr">
        <is>
          <t>Tiền mặt hàng năm (2019, 2018, 2017)</t>
        </is>
      </c>
    </row>
    <row r="74" ht="22" customHeight="1">
      <c r="A74" s="4" t="n">
        <v>71</v>
      </c>
      <c r="B74" s="5" t="inlineStr">
        <is>
          <t>SCS</t>
        </is>
      </c>
      <c r="C74" s="4" t="inlineStr">
        <is>
          <t>HOSE</t>
        </is>
      </c>
      <c r="D74" s="6" t="inlineStr">
        <is>
          <t>CTCP Dịch vụ Hàng hóa Sài Gòn</t>
        </is>
      </c>
      <c r="E74" s="6" t="inlineStr">
        <is>
          <t>Du lịch và Giải trí</t>
        </is>
      </c>
      <c r="F74" s="6" t="inlineStr">
        <is>
          <t>Dịch vụ Tiêu dùng</t>
        </is>
      </c>
      <c r="G74" s="7" t="inlineStr">
        <is>
          <t>⭐ Đầu ngành</t>
        </is>
      </c>
      <c r="H74" s="8" t="n">
        <v>93930</v>
      </c>
      <c r="I74" s="9" t="n">
        <v>44800</v>
      </c>
      <c r="J74" s="10" t="inlineStr">
        <is>
          <t>Cả tiền mặt &amp; cổ phiếu</t>
        </is>
      </c>
      <c r="K74" s="11" t="inlineStr">
        <is>
          <t>Hàng năm</t>
        </is>
      </c>
      <c r="L74" s="12" t="inlineStr">
        <is>
          <t>Có</t>
        </is>
      </c>
      <c r="M74" s="6" t="inlineStr">
        <is>
          <t>2026, 2025, 2024, 2023, 2022, 2021, 2020, 2019</t>
        </is>
      </c>
      <c r="N74" s="6" t="inlineStr">
        <is>
          <t>2022</t>
        </is>
      </c>
      <c r="O74" s="6" t="inlineStr">
        <is>
          <t>Tiền mặt hàng năm (2026, 2025, 2024, 2023, 2022, 2021, 2020, 2019); Cổ tức CP (2022)</t>
        </is>
      </c>
    </row>
    <row r="75" ht="22" customHeight="1">
      <c r="A75" s="13" t="n">
        <v>72</v>
      </c>
      <c r="B75" s="25" t="inlineStr">
        <is>
          <t>VTD</t>
        </is>
      </c>
      <c r="C75" s="13" t="inlineStr">
        <is>
          <t>UPCOM</t>
        </is>
      </c>
      <c r="D75" s="14" t="inlineStr">
        <is>
          <t>CTCP Vietourist Holdings</t>
        </is>
      </c>
      <c r="E75" s="14" t="inlineStr">
        <is>
          <t>Du lịch và Giải trí</t>
        </is>
      </c>
      <c r="F75" s="14" t="inlineStr">
        <is>
          <t>Dịch vụ Tiêu dùng</t>
        </is>
      </c>
      <c r="G75" s="13" t="inlineStr">
        <is>
          <t>Thành viên</t>
        </is>
      </c>
      <c r="H75" s="15" t="n">
        <v>322350</v>
      </c>
      <c r="I75" s="16" t="n">
        <v>4200</v>
      </c>
      <c r="J75" s="26" t="inlineStr">
        <is>
          <t>Chưa chia / Khác</t>
        </is>
      </c>
      <c r="K75" s="13" t="inlineStr">
        <is>
          <t>Không</t>
        </is>
      </c>
      <c r="L75" s="13" t="inlineStr">
        <is>
          <t>Không</t>
        </is>
      </c>
      <c r="M75" s="14" t="inlineStr">
        <is>
          <t>-</t>
        </is>
      </c>
      <c r="N75" s="14" t="inlineStr">
        <is>
          <t>-</t>
        </is>
      </c>
      <c r="O75" s="14" t="inlineStr">
        <is>
          <t>Chưa có lịch sử chia cổ tức</t>
        </is>
      </c>
    </row>
    <row r="76" ht="22" customHeight="1">
      <c r="A76" s="4" t="n">
        <v>73</v>
      </c>
      <c r="B76" s="18" t="inlineStr">
        <is>
          <t>DAH</t>
        </is>
      </c>
      <c r="C76" s="4" t="inlineStr">
        <is>
          <t>HOSE</t>
        </is>
      </c>
      <c r="D76" s="6" t="inlineStr">
        <is>
          <t>CTCP Tập đoàn Khách sạn Đông Á</t>
        </is>
      </c>
      <c r="E76" s="6" t="inlineStr">
        <is>
          <t>Du lịch và Giải trí</t>
        </is>
      </c>
      <c r="F76" s="6" t="inlineStr">
        <is>
          <t>Dịch vụ Tiêu dùng</t>
        </is>
      </c>
      <c r="G76" s="4" t="inlineStr">
        <is>
          <t>Thành viên</t>
        </is>
      </c>
      <c r="H76" s="8" t="n">
        <v>78085</v>
      </c>
      <c r="I76" s="9" t="n">
        <v>2150</v>
      </c>
      <c r="J76" s="19" t="inlineStr">
        <is>
          <t>Tiền mặt không đều</t>
        </is>
      </c>
      <c r="K76" s="4" t="inlineStr">
        <is>
          <t>Có</t>
        </is>
      </c>
      <c r="L76" s="4" t="inlineStr">
        <is>
          <t>Không</t>
        </is>
      </c>
      <c r="M76" s="6" t="inlineStr">
        <is>
          <t>2018, 2017</t>
        </is>
      </c>
      <c r="N76" s="6" t="inlineStr">
        <is>
          <t>-</t>
        </is>
      </c>
      <c r="O76" s="6" t="inlineStr">
        <is>
          <t>Tiền mặt (2018, 2017)</t>
        </is>
      </c>
    </row>
    <row r="77" ht="22" customHeight="1">
      <c r="A77" s="13" t="n">
        <v>74</v>
      </c>
      <c r="B77" s="20" t="inlineStr">
        <is>
          <t>HHG</t>
        </is>
      </c>
      <c r="C77" s="13" t="inlineStr">
        <is>
          <t>UPCOM</t>
        </is>
      </c>
      <c r="D77" s="14" t="inlineStr">
        <is>
          <t>CTCP Hoàng Hà</t>
        </is>
      </c>
      <c r="E77" s="14" t="inlineStr">
        <is>
          <t>Du lịch và Giải trí</t>
        </is>
      </c>
      <c r="F77" s="14" t="inlineStr">
        <is>
          <t>Dịch vụ Tiêu dùng</t>
        </is>
      </c>
      <c r="G77" s="13" t="inlineStr">
        <is>
          <t>Thành viên</t>
        </is>
      </c>
      <c r="H77" s="15" t="n">
        <v>68810</v>
      </c>
      <c r="I77" s="16" t="n">
        <v>700</v>
      </c>
      <c r="J77" s="21" t="inlineStr">
        <is>
          <t>Cổ tức cổ phiếu</t>
        </is>
      </c>
      <c r="K77" s="13" t="inlineStr">
        <is>
          <t>Có</t>
        </is>
      </c>
      <c r="L77" s="12" t="inlineStr">
        <is>
          <t>Có</t>
        </is>
      </c>
      <c r="M77" s="14" t="inlineStr">
        <is>
          <t>2017</t>
        </is>
      </c>
      <c r="N77" s="14" t="inlineStr">
        <is>
          <t>2018, 2016, 2015</t>
        </is>
      </c>
      <c r="O77" s="14" t="inlineStr">
        <is>
          <t>Tiền mặt (2017); Cổ tức CP (2018, 2016, 2015)</t>
        </is>
      </c>
    </row>
    <row r="78" ht="22" customHeight="1">
      <c r="A78" s="4" t="n">
        <v>75</v>
      </c>
      <c r="B78" s="5" t="inlineStr">
        <is>
          <t>BSR</t>
        </is>
      </c>
      <c r="C78" s="4" t="inlineStr">
        <is>
          <t>HOSE</t>
        </is>
      </c>
      <c r="D78" s="6" t="inlineStr">
        <is>
          <t>CTCP - Tổng Công ty Lọc hóa dầu Việt Nam</t>
        </is>
      </c>
      <c r="E78" s="6" t="inlineStr">
        <is>
          <t>Dầu khí</t>
        </is>
      </c>
      <c r="F78" s="6" t="inlineStr">
        <is>
          <t>Dầu khí</t>
        </is>
      </c>
      <c r="G78" s="7" t="inlineStr">
        <is>
          <t>⭐ Đầu ngành</t>
        </is>
      </c>
      <c r="H78" s="8" t="n">
        <v>11877170</v>
      </c>
      <c r="I78" s="9" t="n">
        <v>30200</v>
      </c>
      <c r="J78" s="10" t="inlineStr">
        <is>
          <t>Cả tiền mặt &amp; cổ phiếu</t>
        </is>
      </c>
      <c r="K78" s="11" t="inlineStr">
        <is>
          <t>Hàng năm</t>
        </is>
      </c>
      <c r="L78" s="12" t="inlineStr">
        <is>
          <t>Có</t>
        </is>
      </c>
      <c r="M78" s="6" t="inlineStr">
        <is>
          <t>2026, 2024, 2023, 2022</t>
        </is>
      </c>
      <c r="N78" s="6" t="inlineStr">
        <is>
          <t>2025</t>
        </is>
      </c>
      <c r="O78" s="6" t="inlineStr">
        <is>
          <t>Tiền mặt hàng năm (2026, 2024, 2023, 2022); Cổ tức CP (2025)</t>
        </is>
      </c>
    </row>
    <row r="79" ht="22" customHeight="1">
      <c r="A79" s="13" t="n">
        <v>76</v>
      </c>
      <c r="B79" s="5" t="inlineStr">
        <is>
          <t>PVD</t>
        </is>
      </c>
      <c r="C79" s="13" t="inlineStr">
        <is>
          <t>HOSE</t>
        </is>
      </c>
      <c r="D79" s="14" t="inlineStr">
        <is>
          <t>Tổng Công ty cổ phần Khoan và Dịch vụ khoan Dầu khí</t>
        </is>
      </c>
      <c r="E79" s="14" t="inlineStr">
        <is>
          <t>Dầu khí</t>
        </is>
      </c>
      <c r="F79" s="14" t="inlineStr">
        <is>
          <t>Dầu khí</t>
        </is>
      </c>
      <c r="G79" s="7" t="inlineStr">
        <is>
          <t>⭐ Đầu ngành</t>
        </is>
      </c>
      <c r="H79" s="15" t="n">
        <v>5690160</v>
      </c>
      <c r="I79" s="16" t="n">
        <v>19200</v>
      </c>
      <c r="J79" s="17" t="inlineStr">
        <is>
          <t>Cả tiền mặt &amp; cổ phiếu</t>
        </is>
      </c>
      <c r="K79" s="11" t="inlineStr">
        <is>
          <t>Hàng năm</t>
        </is>
      </c>
      <c r="L79" s="12" t="inlineStr">
        <is>
          <t>Có</t>
        </is>
      </c>
      <c r="M79" s="14" t="inlineStr">
        <is>
          <t>2025, 2015, 2014, 2013</t>
        </is>
      </c>
      <c r="N79" s="14" t="inlineStr">
        <is>
          <t>2026, 2022, 2019, 2016, 2015</t>
        </is>
      </c>
      <c r="O79" s="14" t="inlineStr">
        <is>
          <t>Tiền mặt hàng năm (2025, 2015, 2014, 2013); Cổ tức CP (2026, 2022, 2019, 2016, 2015)</t>
        </is>
      </c>
    </row>
    <row r="80" ht="22" customHeight="1">
      <c r="A80" s="4" t="n">
        <v>77</v>
      </c>
      <c r="B80" s="22" t="inlineStr">
        <is>
          <t>PLX</t>
        </is>
      </c>
      <c r="C80" s="4" t="inlineStr">
        <is>
          <t>HOSE</t>
        </is>
      </c>
      <c r="D80" s="6" t="inlineStr">
        <is>
          <t>Tập đoàn Xăng Dầu Việt Nam</t>
        </is>
      </c>
      <c r="E80" s="6" t="inlineStr">
        <is>
          <t>Dầu khí</t>
        </is>
      </c>
      <c r="F80" s="6" t="inlineStr">
        <is>
          <t>Dầu khí</t>
        </is>
      </c>
      <c r="G80" s="7" t="inlineStr">
        <is>
          <t>⭐ Đầu ngành</t>
        </is>
      </c>
      <c r="H80" s="8" t="n">
        <v>5352770</v>
      </c>
      <c r="I80" s="9" t="n">
        <v>37400</v>
      </c>
      <c r="J80" s="27" t="inlineStr">
        <is>
          <t>Tiền mặt hàng năm</t>
        </is>
      </c>
      <c r="K80" s="11" t="inlineStr">
        <is>
          <t>Hàng năm</t>
        </is>
      </c>
      <c r="L80" s="4" t="inlineStr">
        <is>
          <t>Không</t>
        </is>
      </c>
      <c r="M80" s="6" t="inlineStr">
        <is>
          <t>2026, 2025, 2024, 2023, 2022, 2021, 2020, 2019</t>
        </is>
      </c>
      <c r="N80" s="6" t="inlineStr">
        <is>
          <t>-</t>
        </is>
      </c>
      <c r="O80" s="6" t="inlineStr">
        <is>
          <t>Tiền mặt hàng năm (2026, 2025, 2024, 2023, 2022, 2021, 2020, 2019)</t>
        </is>
      </c>
    </row>
    <row r="81" ht="22" customHeight="1">
      <c r="A81" s="13" t="n">
        <v>78</v>
      </c>
      <c r="B81" s="5" t="inlineStr">
        <is>
          <t>PVS</t>
        </is>
      </c>
      <c r="C81" s="13" t="inlineStr">
        <is>
          <t>HNX</t>
        </is>
      </c>
      <c r="D81" s="14" t="inlineStr">
        <is>
          <t>Tổng Công ty cổ phần Dịch vụ Kỹ thuật Dầu khí Việt Nam</t>
        </is>
      </c>
      <c r="E81" s="14" t="inlineStr">
        <is>
          <t>Dầu khí</t>
        </is>
      </c>
      <c r="F81" s="14" t="inlineStr">
        <is>
          <t>Dầu khí</t>
        </is>
      </c>
      <c r="G81" s="7" t="inlineStr">
        <is>
          <t>⭐ Đầu ngành</t>
        </is>
      </c>
      <c r="H81" s="15" t="n">
        <v>3646720</v>
      </c>
      <c r="I81" s="16" t="n">
        <v>33300</v>
      </c>
      <c r="J81" s="17" t="inlineStr">
        <is>
          <t>Cả tiền mặt &amp; cổ phiếu</t>
        </is>
      </c>
      <c r="K81" s="11" t="inlineStr">
        <is>
          <t>Hàng năm</t>
        </is>
      </c>
      <c r="L81" s="12" t="inlineStr">
        <is>
          <t>Có</t>
        </is>
      </c>
      <c r="M81" s="14" t="inlineStr">
        <is>
          <t>2024, 2023, 2022, 2021, 2020, 2019, 2018, 2017</t>
        </is>
      </c>
      <c r="N81" s="14" t="inlineStr">
        <is>
          <t>2026, 2025, 2018, 2012</t>
        </is>
      </c>
      <c r="O81" s="14" t="inlineStr">
        <is>
          <t>Tiền mặt hàng năm (2024, 2023, 2022, 2021, 2020, 2019, 2018, 2017); Cổ tức CP (2026, 2025, 2018, 2012)</t>
        </is>
      </c>
    </row>
    <row r="82" ht="22" customHeight="1">
      <c r="A82" s="4" t="n">
        <v>79</v>
      </c>
      <c r="B82" s="22" t="inlineStr">
        <is>
          <t>OIL</t>
        </is>
      </c>
      <c r="C82" s="4" t="inlineStr">
        <is>
          <t>UPCOM</t>
        </is>
      </c>
      <c r="D82" s="6" t="inlineStr">
        <is>
          <t>Tổng Công ty Dầu Việt Nam - CTCP</t>
        </is>
      </c>
      <c r="E82" s="6" t="inlineStr">
        <is>
          <t>Dầu khí</t>
        </is>
      </c>
      <c r="F82" s="6" t="inlineStr">
        <is>
          <t>Dầu khí</t>
        </is>
      </c>
      <c r="G82" s="7" t="inlineStr">
        <is>
          <t>⭐ Đầu ngành</t>
        </is>
      </c>
      <c r="H82" s="8" t="n">
        <v>2557870</v>
      </c>
      <c r="I82" s="9" t="n">
        <v>14400</v>
      </c>
      <c r="J82" s="27" t="inlineStr">
        <is>
          <t>Tiền mặt hàng năm</t>
        </is>
      </c>
      <c r="K82" s="11" t="inlineStr">
        <is>
          <t>Hàng năm</t>
        </is>
      </c>
      <c r="L82" s="4" t="inlineStr">
        <is>
          <t>Không</t>
        </is>
      </c>
      <c r="M82" s="6" t="inlineStr">
        <is>
          <t>2026, 2025, 2024, 2023, 2022</t>
        </is>
      </c>
      <c r="N82" s="6" t="inlineStr">
        <is>
          <t>-</t>
        </is>
      </c>
      <c r="O82" s="6" t="inlineStr">
        <is>
          <t>Tiền mặt hàng năm (2026, 2025, 2024, 2023, 2022)</t>
        </is>
      </c>
    </row>
    <row r="83" ht="22" customHeight="1">
      <c r="A83" s="13" t="n">
        <v>80</v>
      </c>
      <c r="B83" s="5" t="inlineStr">
        <is>
          <t>PVC</t>
        </is>
      </c>
      <c r="C83" s="13" t="inlineStr">
        <is>
          <t>HNX</t>
        </is>
      </c>
      <c r="D83" s="14" t="inlineStr">
        <is>
          <t>Tổng Công ty Hóa chất và Dịch vụ Dầu khí - CTCP</t>
        </is>
      </c>
      <c r="E83" s="14" t="inlineStr">
        <is>
          <t>Dầu khí</t>
        </is>
      </c>
      <c r="F83" s="14" t="inlineStr">
        <is>
          <t>Dầu khí</t>
        </is>
      </c>
      <c r="G83" s="13" t="inlineStr">
        <is>
          <t>Thành viên</t>
        </is>
      </c>
      <c r="H83" s="15" t="n">
        <v>704990</v>
      </c>
      <c r="I83" s="16" t="n">
        <v>12700</v>
      </c>
      <c r="J83" s="17" t="inlineStr">
        <is>
          <t>Cả tiền mặt &amp; cổ phiếu</t>
        </is>
      </c>
      <c r="K83" s="11" t="inlineStr">
        <is>
          <t>Hàng năm</t>
        </is>
      </c>
      <c r="L83" s="12" t="inlineStr">
        <is>
          <t>Có</t>
        </is>
      </c>
      <c r="M83" s="14" t="inlineStr">
        <is>
          <t>2024, 2023, 2022, 2021, 2020, 2019, 2017, 2016</t>
        </is>
      </c>
      <c r="N83" s="14" t="inlineStr">
        <is>
          <t>2023, 2009</t>
        </is>
      </c>
      <c r="O83" s="14" t="inlineStr">
        <is>
          <t>Tiền mặt hàng năm (2024, 2023, 2022, 2021, 2020, 2019, 2017, 2016); Cổ tức CP (2023, 2009)</t>
        </is>
      </c>
    </row>
    <row r="84" ht="22" customHeight="1">
      <c r="A84" s="4" t="n">
        <v>81</v>
      </c>
      <c r="B84" s="22" t="inlineStr">
        <is>
          <t>PVB</t>
        </is>
      </c>
      <c r="C84" s="4" t="inlineStr">
        <is>
          <t>HNX</t>
        </is>
      </c>
      <c r="D84" s="6" t="inlineStr">
        <is>
          <t>CTCP Bọc ống Dầu khí Việt Nam</t>
        </is>
      </c>
      <c r="E84" s="6" t="inlineStr">
        <is>
          <t>Dầu khí</t>
        </is>
      </c>
      <c r="F84" s="6" t="inlineStr">
        <is>
          <t>Dầu khí</t>
        </is>
      </c>
      <c r="G84" s="4" t="inlineStr">
        <is>
          <t>Thành viên</t>
        </is>
      </c>
      <c r="H84" s="8" t="n">
        <v>97990</v>
      </c>
      <c r="I84" s="9" t="n">
        <v>22500</v>
      </c>
      <c r="J84" s="27" t="inlineStr">
        <is>
          <t>Tiền mặt hàng năm</t>
        </is>
      </c>
      <c r="K84" s="11" t="inlineStr">
        <is>
          <t>Hàng năm</t>
        </is>
      </c>
      <c r="L84" s="4" t="inlineStr">
        <is>
          <t>Không</t>
        </is>
      </c>
      <c r="M84" s="6" t="inlineStr">
        <is>
          <t>2021, 2020, 2019, 2016, 2015, 2014</t>
        </is>
      </c>
      <c r="N84" s="6" t="inlineStr">
        <is>
          <t>-</t>
        </is>
      </c>
      <c r="O84" s="6" t="inlineStr">
        <is>
          <t>Tiền mặt hàng năm (2021, 2020, 2019, 2016, 2015, 2014)</t>
        </is>
      </c>
    </row>
    <row r="85" ht="22" customHeight="1">
      <c r="A85" s="13" t="n">
        <v>82</v>
      </c>
      <c r="B85" s="5" t="inlineStr">
        <is>
          <t>VIX</t>
        </is>
      </c>
      <c r="C85" s="13" t="inlineStr">
        <is>
          <t>HOSE</t>
        </is>
      </c>
      <c r="D85" s="14" t="inlineStr">
        <is>
          <t>CTCP Chứng khoán VIX</t>
        </is>
      </c>
      <c r="E85" s="14" t="inlineStr">
        <is>
          <t>Dịch vụ tài chính</t>
        </is>
      </c>
      <c r="F85" s="14" t="inlineStr">
        <is>
          <t>Tài chính</t>
        </is>
      </c>
      <c r="G85" s="7" t="inlineStr">
        <is>
          <t>⭐ Đầu ngành</t>
        </is>
      </c>
      <c r="H85" s="15" t="n">
        <v>42059065.2</v>
      </c>
      <c r="I85" s="16" t="n">
        <v>13150</v>
      </c>
      <c r="J85" s="17" t="inlineStr">
        <is>
          <t>Cả tiền mặt &amp; cổ phiếu</t>
        </is>
      </c>
      <c r="K85" s="11" t="inlineStr">
        <is>
          <t>Hàng năm</t>
        </is>
      </c>
      <c r="L85" s="12" t="inlineStr">
        <is>
          <t>Có</t>
        </is>
      </c>
      <c r="M85" s="14" t="inlineStr">
        <is>
          <t>2022, 2018, 2016</t>
        </is>
      </c>
      <c r="N85" s="14" t="inlineStr">
        <is>
          <t>2026, 2025, 2024, 2023, 2022, 2021, 2020, 2019</t>
        </is>
      </c>
      <c r="O85" s="14" t="inlineStr">
        <is>
          <t>Tiền mặt hàng năm (2022, 2018, 2016); Cổ tức CP (2026, 2025, 2024, 2023, 2022, 2021, 2020, 2019)</t>
        </is>
      </c>
    </row>
    <row r="86" ht="22" customHeight="1">
      <c r="A86" s="4" t="n">
        <v>83</v>
      </c>
      <c r="B86" s="5" t="inlineStr">
        <is>
          <t>SSI</t>
        </is>
      </c>
      <c r="C86" s="4" t="inlineStr">
        <is>
          <t>HOSE</t>
        </is>
      </c>
      <c r="D86" s="6" t="inlineStr">
        <is>
          <t>CTCP Chứng khoán SSI</t>
        </is>
      </c>
      <c r="E86" s="6" t="inlineStr">
        <is>
          <t>Dịch vụ tài chính</t>
        </is>
      </c>
      <c r="F86" s="6" t="inlineStr">
        <is>
          <t>Tài chính</t>
        </is>
      </c>
      <c r="G86" s="7" t="inlineStr">
        <is>
          <t>⭐ Đầu ngành</t>
        </is>
      </c>
      <c r="H86" s="8" t="n">
        <v>21453600</v>
      </c>
      <c r="I86" s="9" t="n">
        <v>21400</v>
      </c>
      <c r="J86" s="10" t="inlineStr">
        <is>
          <t>Cả tiền mặt &amp; cổ phiếu</t>
        </is>
      </c>
      <c r="K86" s="11" t="inlineStr">
        <is>
          <t>Hàng năm</t>
        </is>
      </c>
      <c r="L86" s="12" t="inlineStr">
        <is>
          <t>Có</t>
        </is>
      </c>
      <c r="M86" s="6" t="inlineStr">
        <is>
          <t>2026, 2025, 2024, 2023, 2022, 2021, 2020, 2019</t>
        </is>
      </c>
      <c r="N86" s="6" t="inlineStr">
        <is>
          <t>2026, 2024, 2021, 2020, 2015, 2010</t>
        </is>
      </c>
      <c r="O86" s="6" t="inlineStr">
        <is>
          <t>Tiền mặt hàng năm (2026, 2025, 2024, 2023, 2022, 2021, 2020, 2019); Cổ tức CP (2026, 2024, 2021, 2020, 2015, 2010)</t>
        </is>
      </c>
    </row>
    <row r="87" ht="22" customHeight="1">
      <c r="A87" s="13" t="n">
        <v>84</v>
      </c>
      <c r="B87" s="5" t="inlineStr">
        <is>
          <t>VND</t>
        </is>
      </c>
      <c r="C87" s="13" t="inlineStr">
        <is>
          <t>HOSE</t>
        </is>
      </c>
      <c r="D87" s="14" t="inlineStr">
        <is>
          <t>CTCP Chứng khoán VNDIRECT</t>
        </is>
      </c>
      <c r="E87" s="14" t="inlineStr">
        <is>
          <t>Dịch vụ tài chính</t>
        </is>
      </c>
      <c r="F87" s="14" t="inlineStr">
        <is>
          <t>Tài chính</t>
        </is>
      </c>
      <c r="G87" s="7" t="inlineStr">
        <is>
          <t>⭐ Đầu ngành</t>
        </is>
      </c>
      <c r="H87" s="15" t="n">
        <v>10492485</v>
      </c>
      <c r="I87" s="16" t="n">
        <v>15200</v>
      </c>
      <c r="J87" s="17" t="inlineStr">
        <is>
          <t>Cả tiền mặt &amp; cổ phiếu</t>
        </is>
      </c>
      <c r="K87" s="11" t="inlineStr">
        <is>
          <t>Hàng năm</t>
        </is>
      </c>
      <c r="L87" s="12" t="inlineStr">
        <is>
          <t>Có</t>
        </is>
      </c>
      <c r="M87" s="14" t="inlineStr">
        <is>
          <t>2026, 2025, 2024, 2022, 2021, 2020, 2019, 2018</t>
        </is>
      </c>
      <c r="N87" s="14" t="inlineStr">
        <is>
          <t>2024, 2022, 2018, 2014</t>
        </is>
      </c>
      <c r="O87" s="14" t="inlineStr">
        <is>
          <t>Tiền mặt hàng năm (2026, 2025, 2024, 2022, 2021, 2020, 2019, 2018); Cổ tức CP (2024, 2022, 2018, 2014)</t>
        </is>
      </c>
    </row>
    <row r="88" ht="22" customHeight="1">
      <c r="A88" s="4" t="n">
        <v>85</v>
      </c>
      <c r="B88" s="5" t="inlineStr">
        <is>
          <t>VCI</t>
        </is>
      </c>
      <c r="C88" s="4" t="inlineStr">
        <is>
          <t>HOSE</t>
        </is>
      </c>
      <c r="D88" s="6" t="inlineStr">
        <is>
          <t>CTCP Chứng khoán Vietcap</t>
        </is>
      </c>
      <c r="E88" s="6" t="inlineStr">
        <is>
          <t>Dịch vụ tài chính</t>
        </is>
      </c>
      <c r="F88" s="6" t="inlineStr">
        <is>
          <t>Tài chính</t>
        </is>
      </c>
      <c r="G88" s="7" t="inlineStr">
        <is>
          <t>⭐ Đầu ngành</t>
        </is>
      </c>
      <c r="H88" s="8" t="n">
        <v>10459235</v>
      </c>
      <c r="I88" s="9" t="n">
        <v>20650</v>
      </c>
      <c r="J88" s="10" t="inlineStr">
        <is>
          <t>Cả tiền mặt &amp; cổ phiếu</t>
        </is>
      </c>
      <c r="K88" s="11" t="inlineStr">
        <is>
          <t>Hàng năm</t>
        </is>
      </c>
      <c r="L88" s="12" t="inlineStr">
        <is>
          <t>Có</t>
        </is>
      </c>
      <c r="M88" s="6" t="inlineStr">
        <is>
          <t>2026, 2025, 2024, 2023, 2022, 2021, 2020, 2019</t>
        </is>
      </c>
      <c r="N88" s="6" t="inlineStr">
        <is>
          <t>2026, 2024, 2022, 2021, 2018</t>
        </is>
      </c>
      <c r="O88" s="6" t="inlineStr">
        <is>
          <t>Tiền mặt hàng năm (2026, 2025, 2024, 2023, 2022, 2021, 2020, 2019); Cổ tức CP (2026, 2024, 2022, 2021, 2018)</t>
        </is>
      </c>
    </row>
    <row r="89" ht="22" customHeight="1">
      <c r="A89" s="13" t="n">
        <v>86</v>
      </c>
      <c r="B89" s="5" t="inlineStr">
        <is>
          <t>SHS</t>
        </is>
      </c>
      <c r="C89" s="13" t="inlineStr">
        <is>
          <t>HNX</t>
        </is>
      </c>
      <c r="D89" s="14" t="inlineStr">
        <is>
          <t>CTCP Chứng khoán Sài Gòn - Hà Nội</t>
        </is>
      </c>
      <c r="E89" s="14" t="inlineStr">
        <is>
          <t>Dịch vụ tài chính</t>
        </is>
      </c>
      <c r="F89" s="14" t="inlineStr">
        <is>
          <t>Tài chính</t>
        </is>
      </c>
      <c r="G89" s="7" t="inlineStr">
        <is>
          <t>⭐ Đầu ngành</t>
        </is>
      </c>
      <c r="H89" s="15" t="n">
        <v>9578055</v>
      </c>
      <c r="I89" s="16" t="n">
        <v>14400</v>
      </c>
      <c r="J89" s="17" t="inlineStr">
        <is>
          <t>Cả tiền mặt &amp; cổ phiếu</t>
        </is>
      </c>
      <c r="K89" s="11" t="inlineStr">
        <is>
          <t>Hàng năm</t>
        </is>
      </c>
      <c r="L89" s="12" t="inlineStr">
        <is>
          <t>Có</t>
        </is>
      </c>
      <c r="M89" s="14" t="inlineStr">
        <is>
          <t>2025, 2021, 2020, 2019, 2017, 2010, 2009</t>
        </is>
      </c>
      <c r="N89" s="14" t="inlineStr">
        <is>
          <t>2025, 2022, 2021, 2019</t>
        </is>
      </c>
      <c r="O89" s="14" t="inlineStr">
        <is>
          <t>Tiền mặt hàng năm (2025, 2021, 2020, 2019, 2017, 2010, 2009); Cổ tức CP (2025, 2022, 2021, 2019)</t>
        </is>
      </c>
    </row>
    <row r="90" ht="22" customHeight="1">
      <c r="A90" s="4" t="n">
        <v>87</v>
      </c>
      <c r="B90" s="5" t="inlineStr">
        <is>
          <t>HCM</t>
        </is>
      </c>
      <c r="C90" s="4" t="inlineStr">
        <is>
          <t>HOSE</t>
        </is>
      </c>
      <c r="D90" s="6" t="inlineStr">
        <is>
          <t>CTCP Chứng khoán Thành phố Hồ Chí Minh</t>
        </is>
      </c>
      <c r="E90" s="6" t="inlineStr">
        <is>
          <t>Dịch vụ tài chính</t>
        </is>
      </c>
      <c r="F90" s="6" t="inlineStr">
        <is>
          <t>Tài chính</t>
        </is>
      </c>
      <c r="G90" s="7" t="inlineStr">
        <is>
          <t>⭐ Đầu ngành</t>
        </is>
      </c>
      <c r="H90" s="8" t="n">
        <v>3864010</v>
      </c>
      <c r="I90" s="9" t="n">
        <v>25500</v>
      </c>
      <c r="J90" s="10" t="inlineStr">
        <is>
          <t>Cả tiền mặt &amp; cổ phiếu</t>
        </is>
      </c>
      <c r="K90" s="11" t="inlineStr">
        <is>
          <t>Hàng năm</t>
        </is>
      </c>
      <c r="L90" s="12" t="inlineStr">
        <is>
          <t>Có</t>
        </is>
      </c>
      <c r="M90" s="6" t="inlineStr">
        <is>
          <t>2026, 2025, 2024, 2023, 2021, 2020, 2019, 2018</t>
        </is>
      </c>
      <c r="N90" s="6" t="inlineStr">
        <is>
          <t>2024, 2019, 2013</t>
        </is>
      </c>
      <c r="O90" s="6" t="inlineStr">
        <is>
          <t>Tiền mặt hàng năm (2026, 2025, 2024, 2023, 2021, 2020, 2019, 2018); Cổ tức CP (2024, 2019, 2013)</t>
        </is>
      </c>
    </row>
    <row r="91" ht="22" customHeight="1">
      <c r="A91" s="13" t="n">
        <v>88</v>
      </c>
      <c r="B91" s="5" t="inlineStr">
        <is>
          <t>MBS</t>
        </is>
      </c>
      <c r="C91" s="13" t="inlineStr">
        <is>
          <t>HNX</t>
        </is>
      </c>
      <c r="D91" s="14" t="inlineStr">
        <is>
          <t>CTCP Chứng khoán MB</t>
        </is>
      </c>
      <c r="E91" s="14" t="inlineStr">
        <is>
          <t>Dịch vụ tài chính</t>
        </is>
      </c>
      <c r="F91" s="14" t="inlineStr">
        <is>
          <t>Tài chính</t>
        </is>
      </c>
      <c r="G91" s="7" t="inlineStr">
        <is>
          <t>⭐ Đầu ngành</t>
        </is>
      </c>
      <c r="H91" s="15" t="n">
        <v>3305585</v>
      </c>
      <c r="I91" s="16" t="n">
        <v>17000</v>
      </c>
      <c r="J91" s="17" t="inlineStr">
        <is>
          <t>Cả tiền mặt &amp; cổ phiếu</t>
        </is>
      </c>
      <c r="K91" s="11" t="inlineStr">
        <is>
          <t>Hàng năm</t>
        </is>
      </c>
      <c r="L91" s="12" t="inlineStr">
        <is>
          <t>Có</t>
        </is>
      </c>
      <c r="M91" s="14" t="inlineStr">
        <is>
          <t>2026, 2025, 2024, 2020, 2017</t>
        </is>
      </c>
      <c r="N91" s="14" t="inlineStr">
        <is>
          <t>2025, 2023, 2022, 2021, 2020</t>
        </is>
      </c>
      <c r="O91" s="14" t="inlineStr">
        <is>
          <t>Tiền mặt hàng năm (2026, 2025, 2024, 2020, 2017); Cổ tức CP (2025, 2023, 2022, 2021, 2020)</t>
        </is>
      </c>
    </row>
    <row r="92" ht="22" customHeight="1">
      <c r="A92" s="4" t="n">
        <v>89</v>
      </c>
      <c r="B92" s="20" t="inlineStr">
        <is>
          <t>ORS</t>
        </is>
      </c>
      <c r="C92" s="4" t="inlineStr">
        <is>
          <t>HOSE</t>
        </is>
      </c>
      <c r="D92" s="6" t="inlineStr">
        <is>
          <t>CTCP Chứng khoán Tiên Phong</t>
        </is>
      </c>
      <c r="E92" s="6" t="inlineStr">
        <is>
          <t>Dịch vụ tài chính</t>
        </is>
      </c>
      <c r="F92" s="6" t="inlineStr">
        <is>
          <t>Tài chính</t>
        </is>
      </c>
      <c r="G92" s="4" t="inlineStr">
        <is>
          <t>Thành viên</t>
        </is>
      </c>
      <c r="H92" s="8" t="n">
        <v>3107620</v>
      </c>
      <c r="I92" s="9" t="n">
        <v>13400</v>
      </c>
      <c r="J92" s="24" t="inlineStr">
        <is>
          <t>Cổ tức cổ phiếu</t>
        </is>
      </c>
      <c r="K92" s="4" t="inlineStr">
        <is>
          <t>Không</t>
        </is>
      </c>
      <c r="L92" s="12" t="inlineStr">
        <is>
          <t>Có</t>
        </is>
      </c>
      <c r="M92" s="6" t="inlineStr">
        <is>
          <t>-</t>
        </is>
      </c>
      <c r="N92" s="6" t="inlineStr">
        <is>
          <t>2024</t>
        </is>
      </c>
      <c r="O92" s="6" t="inlineStr">
        <is>
          <t>Cổ tức CP (2024)</t>
        </is>
      </c>
    </row>
    <row r="93" ht="22" customHeight="1">
      <c r="A93" s="13" t="n">
        <v>90</v>
      </c>
      <c r="B93" s="20" t="inlineStr">
        <is>
          <t>VCK</t>
        </is>
      </c>
      <c r="C93" s="13" t="inlineStr">
        <is>
          <t>HOSE</t>
        </is>
      </c>
      <c r="D93" s="14" t="inlineStr">
        <is>
          <t>CTCP Chứng khoán VPS</t>
        </is>
      </c>
      <c r="E93" s="14" t="inlineStr">
        <is>
          <t>Dịch vụ tài chính</t>
        </is>
      </c>
      <c r="F93" s="14" t="inlineStr">
        <is>
          <t>Tài chính</t>
        </is>
      </c>
      <c r="G93" s="13" t="inlineStr">
        <is>
          <t>Thành viên</t>
        </is>
      </c>
      <c r="H93" s="15" t="n">
        <v>2422660</v>
      </c>
      <c r="I93" s="16" t="n">
        <v>29700</v>
      </c>
      <c r="J93" s="21" t="inlineStr">
        <is>
          <t>Cổ tức cổ phiếu</t>
        </is>
      </c>
      <c r="K93" s="13" t="inlineStr">
        <is>
          <t>Không</t>
        </is>
      </c>
      <c r="L93" s="12" t="inlineStr">
        <is>
          <t>Có</t>
        </is>
      </c>
      <c r="M93" s="14" t="inlineStr">
        <is>
          <t>-</t>
        </is>
      </c>
      <c r="N93" s="14" t="inlineStr">
        <is>
          <t>2026</t>
        </is>
      </c>
      <c r="O93" s="14" t="inlineStr">
        <is>
          <t>Cổ tức CP (2026)</t>
        </is>
      </c>
    </row>
    <row r="94" ht="22" customHeight="1">
      <c r="A94" s="4" t="n">
        <v>91</v>
      </c>
      <c r="B94" s="20" t="inlineStr">
        <is>
          <t>TCX</t>
        </is>
      </c>
      <c r="C94" s="4" t="inlineStr">
        <is>
          <t>HOSE</t>
        </is>
      </c>
      <c r="D94" s="6" t="inlineStr">
        <is>
          <t>CTCP Chứng khoán Kỹ Thương</t>
        </is>
      </c>
      <c r="E94" s="6" t="inlineStr">
        <is>
          <t>Dịch vụ tài chính</t>
        </is>
      </c>
      <c r="F94" s="6" t="inlineStr">
        <is>
          <t>Tài chính</t>
        </is>
      </c>
      <c r="G94" s="4" t="inlineStr">
        <is>
          <t>Thành viên</t>
        </is>
      </c>
      <c r="H94" s="8" t="n">
        <v>2231080</v>
      </c>
      <c r="I94" s="9" t="n">
        <v>31500</v>
      </c>
      <c r="J94" s="24" t="inlineStr">
        <is>
          <t>Cổ tức cổ phiếu</t>
        </is>
      </c>
      <c r="K94" s="4" t="inlineStr">
        <is>
          <t>Có</t>
        </is>
      </c>
      <c r="L94" s="12" t="inlineStr">
        <is>
          <t>Có</t>
        </is>
      </c>
      <c r="M94" s="6" t="inlineStr">
        <is>
          <t>2026</t>
        </is>
      </c>
      <c r="N94" s="6" t="inlineStr">
        <is>
          <t>2026</t>
        </is>
      </c>
      <c r="O94" s="6" t="inlineStr">
        <is>
          <t>Tiền mặt (2026); Cổ tức CP (2026)</t>
        </is>
      </c>
    </row>
    <row r="95" ht="22" customHeight="1">
      <c r="A95" s="13" t="n">
        <v>92</v>
      </c>
      <c r="B95" s="20" t="inlineStr">
        <is>
          <t>AAS</t>
        </is>
      </c>
      <c r="C95" s="13" t="inlineStr">
        <is>
          <t>UPCOM</t>
        </is>
      </c>
      <c r="D95" s="14" t="inlineStr">
        <is>
          <t xml:space="preserve">CTCP Chứng khoán SmartInvest </t>
        </is>
      </c>
      <c r="E95" s="14" t="inlineStr">
        <is>
          <t>Dịch vụ tài chính</t>
        </is>
      </c>
      <c r="F95" s="14" t="inlineStr">
        <is>
          <t>Tài chính</t>
        </is>
      </c>
      <c r="G95" s="13" t="inlineStr">
        <is>
          <t>Thành viên</t>
        </is>
      </c>
      <c r="H95" s="15" t="n">
        <v>1626055</v>
      </c>
      <c r="I95" s="16" t="n">
        <v>9200</v>
      </c>
      <c r="J95" s="21" t="inlineStr">
        <is>
          <t>Cổ tức cổ phiếu</t>
        </is>
      </c>
      <c r="K95" s="13" t="inlineStr">
        <is>
          <t>Không</t>
        </is>
      </c>
      <c r="L95" s="12" t="inlineStr">
        <is>
          <t>Có</t>
        </is>
      </c>
      <c r="M95" s="14" t="inlineStr">
        <is>
          <t>-</t>
        </is>
      </c>
      <c r="N95" s="14" t="inlineStr">
        <is>
          <t>2023</t>
        </is>
      </c>
      <c r="O95" s="14" t="inlineStr">
        <is>
          <t>Cổ tức CP (2023)</t>
        </is>
      </c>
    </row>
    <row r="96" ht="22" customHeight="1">
      <c r="A96" s="4" t="n">
        <v>93</v>
      </c>
      <c r="B96" s="5" t="inlineStr">
        <is>
          <t>CTS</t>
        </is>
      </c>
      <c r="C96" s="4" t="inlineStr">
        <is>
          <t>HOSE</t>
        </is>
      </c>
      <c r="D96" s="6" t="inlineStr">
        <is>
          <t>CTCP Chứng khoán VietinBank</t>
        </is>
      </c>
      <c r="E96" s="6" t="inlineStr">
        <is>
          <t>Dịch vụ tài chính</t>
        </is>
      </c>
      <c r="F96" s="6" t="inlineStr">
        <is>
          <t>Tài chính</t>
        </is>
      </c>
      <c r="G96" s="4" t="inlineStr">
        <is>
          <t>Thành viên</t>
        </is>
      </c>
      <c r="H96" s="8" t="n">
        <v>1521570</v>
      </c>
      <c r="I96" s="9" t="n">
        <v>21950</v>
      </c>
      <c r="J96" s="10" t="inlineStr">
        <is>
          <t>Cả tiền mặt &amp; cổ phiếu</t>
        </is>
      </c>
      <c r="K96" s="11" t="inlineStr">
        <is>
          <t>Hàng năm</t>
        </is>
      </c>
      <c r="L96" s="12" t="inlineStr">
        <is>
          <t>Có</t>
        </is>
      </c>
      <c r="M96" s="6" t="inlineStr">
        <is>
          <t>2019, 2014, 2010</t>
        </is>
      </c>
      <c r="N96" s="6" t="inlineStr">
        <is>
          <t>2026, 2025, 2022, 2018, 2017, 2016, 2015</t>
        </is>
      </c>
      <c r="O96" s="6" t="inlineStr">
        <is>
          <t>Tiền mặt hàng năm (2019, 2014, 2010); Cổ tức CP (2026, 2025, 2022, 2018, 2017, 2016, 2015)</t>
        </is>
      </c>
    </row>
    <row r="97" ht="22" customHeight="1">
      <c r="A97" s="13" t="n">
        <v>94</v>
      </c>
      <c r="B97" s="25" t="inlineStr">
        <is>
          <t>LPS</t>
        </is>
      </c>
      <c r="C97" s="13" t="inlineStr">
        <is>
          <t>HOSE</t>
        </is>
      </c>
      <c r="D97" s="14" t="inlineStr">
        <is>
          <t>CTCP Chứng khoán LPS</t>
        </is>
      </c>
      <c r="E97" s="14" t="inlineStr">
        <is>
          <t>Dịch vụ tài chính</t>
        </is>
      </c>
      <c r="F97" s="14" t="inlineStr">
        <is>
          <t>Tài chính</t>
        </is>
      </c>
      <c r="G97" s="13" t="inlineStr">
        <is>
          <t>Thành viên</t>
        </is>
      </c>
      <c r="H97" s="15" t="n">
        <v>1351105</v>
      </c>
      <c r="I97" s="16" t="n">
        <v>22350</v>
      </c>
      <c r="J97" s="26" t="inlineStr">
        <is>
          <t>Chưa chia / Khác</t>
        </is>
      </c>
      <c r="K97" s="13" t="inlineStr">
        <is>
          <t>Không</t>
        </is>
      </c>
      <c r="L97" s="13" t="inlineStr">
        <is>
          <t>Không</t>
        </is>
      </c>
      <c r="M97" s="14" t="inlineStr">
        <is>
          <t>-</t>
        </is>
      </c>
      <c r="N97" s="14" t="inlineStr">
        <is>
          <t>-</t>
        </is>
      </c>
      <c r="O97" s="14" t="inlineStr">
        <is>
          <t>Chưa có lịch sử chia cổ tức</t>
        </is>
      </c>
    </row>
    <row r="98" ht="22" customHeight="1">
      <c r="A98" s="4" t="n">
        <v>95</v>
      </c>
      <c r="B98" s="20" t="inlineStr">
        <is>
          <t>EVF</t>
        </is>
      </c>
      <c r="C98" s="4" t="inlineStr">
        <is>
          <t>HOSE</t>
        </is>
      </c>
      <c r="D98" s="6" t="inlineStr">
        <is>
          <t>Công ty Tài chính Tổng hợp Cổ phần Điện lực</t>
        </is>
      </c>
      <c r="E98" s="6" t="inlineStr">
        <is>
          <t>Dịch vụ tài chính</t>
        </is>
      </c>
      <c r="F98" s="6" t="inlineStr">
        <is>
          <t>Tài chính</t>
        </is>
      </c>
      <c r="G98" s="4" t="inlineStr">
        <is>
          <t>Thành viên</t>
        </is>
      </c>
      <c r="H98" s="8" t="n">
        <v>1331350</v>
      </c>
      <c r="I98" s="9" t="n">
        <v>11800</v>
      </c>
      <c r="J98" s="24" t="inlineStr">
        <is>
          <t>Cổ tức cổ phiếu</t>
        </is>
      </c>
      <c r="K98" s="4" t="inlineStr">
        <is>
          <t>Không</t>
        </is>
      </c>
      <c r="L98" s="12" t="inlineStr">
        <is>
          <t>Có</t>
        </is>
      </c>
      <c r="M98" s="6" t="inlineStr">
        <is>
          <t>-</t>
        </is>
      </c>
      <c r="N98" s="6" t="inlineStr">
        <is>
          <t>2024, 2022, 2021, 2020</t>
        </is>
      </c>
      <c r="O98" s="6" t="inlineStr">
        <is>
          <t>Cổ tức CP (2024, 2022, 2021, 2020)</t>
        </is>
      </c>
    </row>
    <row r="99" ht="22" customHeight="1">
      <c r="A99" s="13" t="n">
        <v>96</v>
      </c>
      <c r="B99" s="22" t="inlineStr">
        <is>
          <t>BVS</t>
        </is>
      </c>
      <c r="C99" s="13" t="inlineStr">
        <is>
          <t>HNX</t>
        </is>
      </c>
      <c r="D99" s="14" t="inlineStr">
        <is>
          <t>CTCP Chứng khoán Bảo Việt</t>
        </is>
      </c>
      <c r="E99" s="14" t="inlineStr">
        <is>
          <t>Dịch vụ tài chính</t>
        </is>
      </c>
      <c r="F99" s="14" t="inlineStr">
        <is>
          <t>Tài chính</t>
        </is>
      </c>
      <c r="G99" s="13" t="inlineStr">
        <is>
          <t>Thành viên</t>
        </is>
      </c>
      <c r="H99" s="15" t="n">
        <v>871705</v>
      </c>
      <c r="I99" s="16" t="n">
        <v>28700</v>
      </c>
      <c r="J99" s="23" t="inlineStr">
        <is>
          <t>Tiền mặt hàng năm</t>
        </is>
      </c>
      <c r="K99" s="11" t="inlineStr">
        <is>
          <t>Hàng năm</t>
        </is>
      </c>
      <c r="L99" s="13" t="inlineStr">
        <is>
          <t>Không</t>
        </is>
      </c>
      <c r="M99" s="14" t="inlineStr">
        <is>
          <t>2025, 2024, 2023, 2022, 2021, 2020, 2019, 2018</t>
        </is>
      </c>
      <c r="N99" s="14" t="inlineStr">
        <is>
          <t>-</t>
        </is>
      </c>
      <c r="O99" s="14" t="inlineStr">
        <is>
          <t>Tiền mặt hàng năm (2025, 2024, 2023, 2022, 2021, 2020, 2019, 2018)</t>
        </is>
      </c>
    </row>
    <row r="100" ht="22" customHeight="1">
      <c r="A100" s="4" t="n">
        <v>97</v>
      </c>
      <c r="B100" s="18" t="inlineStr">
        <is>
          <t>VPX</t>
        </is>
      </c>
      <c r="C100" s="4" t="inlineStr">
        <is>
          <t>HOSE</t>
        </is>
      </c>
      <c r="D100" s="6" t="inlineStr">
        <is>
          <t>CTCP Chứng khoán VPBank</t>
        </is>
      </c>
      <c r="E100" s="6" t="inlineStr">
        <is>
          <t>Dịch vụ tài chính</t>
        </is>
      </c>
      <c r="F100" s="6" t="inlineStr">
        <is>
          <t>Tài chính</t>
        </is>
      </c>
      <c r="G100" s="4" t="inlineStr">
        <is>
          <t>Thành viên</t>
        </is>
      </c>
      <c r="H100" s="8" t="n">
        <v>811110</v>
      </c>
      <c r="I100" s="9" t="n">
        <v>23900</v>
      </c>
      <c r="J100" s="19" t="inlineStr">
        <is>
          <t>Chưa chia / Khác</t>
        </is>
      </c>
      <c r="K100" s="4" t="inlineStr">
        <is>
          <t>Không</t>
        </is>
      </c>
      <c r="L100" s="4" t="inlineStr">
        <is>
          <t>Không</t>
        </is>
      </c>
      <c r="M100" s="6" t="inlineStr">
        <is>
          <t>-</t>
        </is>
      </c>
      <c r="N100" s="6" t="inlineStr">
        <is>
          <t>-</t>
        </is>
      </c>
      <c r="O100" s="6" t="inlineStr">
        <is>
          <t>Chưa có lịch sử chia cổ tức</t>
        </is>
      </c>
    </row>
    <row r="101" ht="22" customHeight="1">
      <c r="A101" s="13" t="n">
        <v>98</v>
      </c>
      <c r="B101" s="20" t="inlineStr">
        <is>
          <t>VFS</t>
        </is>
      </c>
      <c r="C101" s="13" t="inlineStr">
        <is>
          <t>HNX</t>
        </is>
      </c>
      <c r="D101" s="14" t="inlineStr">
        <is>
          <t>CTCP Chứng khoán Nhất Việt</t>
        </is>
      </c>
      <c r="E101" s="14" t="inlineStr">
        <is>
          <t>Dịch vụ tài chính</t>
        </is>
      </c>
      <c r="F101" s="14" t="inlineStr">
        <is>
          <t>Tài chính</t>
        </is>
      </c>
      <c r="G101" s="13" t="inlineStr">
        <is>
          <t>Thành viên</t>
        </is>
      </c>
      <c r="H101" s="15" t="n">
        <v>758860</v>
      </c>
      <c r="I101" s="16" t="n">
        <v>10200</v>
      </c>
      <c r="J101" s="21" t="inlineStr">
        <is>
          <t>Cổ tức cổ phiếu</t>
        </is>
      </c>
      <c r="K101" s="13" t="inlineStr">
        <is>
          <t>Không</t>
        </is>
      </c>
      <c r="L101" s="12" t="inlineStr">
        <is>
          <t>Có</t>
        </is>
      </c>
      <c r="M101" s="14" t="inlineStr">
        <is>
          <t>-</t>
        </is>
      </c>
      <c r="N101" s="14" t="inlineStr">
        <is>
          <t>2026, 2025</t>
        </is>
      </c>
      <c r="O101" s="14" t="inlineStr">
        <is>
          <t>Cổ tức CP (2026, 2025)</t>
        </is>
      </c>
    </row>
    <row r="102" ht="22" customHeight="1">
      <c r="A102" s="4" t="n">
        <v>99</v>
      </c>
      <c r="B102" s="5" t="inlineStr">
        <is>
          <t>FTS</t>
        </is>
      </c>
      <c r="C102" s="4" t="inlineStr">
        <is>
          <t>HOSE</t>
        </is>
      </c>
      <c r="D102" s="6" t="inlineStr">
        <is>
          <t>CTCP Chứng khoán FPT</t>
        </is>
      </c>
      <c r="E102" s="6" t="inlineStr">
        <is>
          <t>Dịch vụ tài chính</t>
        </is>
      </c>
      <c r="F102" s="6" t="inlineStr">
        <is>
          <t>Tài chính</t>
        </is>
      </c>
      <c r="G102" s="4" t="inlineStr">
        <is>
          <t>Thành viên</t>
        </is>
      </c>
      <c r="H102" s="8" t="n">
        <v>749350</v>
      </c>
      <c r="I102" s="9" t="n">
        <v>21000</v>
      </c>
      <c r="J102" s="10" t="inlineStr">
        <is>
          <t>Cả tiền mặt &amp; cổ phiếu</t>
        </is>
      </c>
      <c r="K102" s="11" t="inlineStr">
        <is>
          <t>Hàng năm</t>
        </is>
      </c>
      <c r="L102" s="12" t="inlineStr">
        <is>
          <t>Có</t>
        </is>
      </c>
      <c r="M102" s="6" t="inlineStr">
        <is>
          <t>2026, 2025, 2024, 2023, 2022, 2021, 2020, 2019</t>
        </is>
      </c>
      <c r="N102" s="6" t="inlineStr">
        <is>
          <t>2026, 2025, 2024, 2023, 2022, 2021, 2020, 2019</t>
        </is>
      </c>
      <c r="O102" s="6" t="inlineStr">
        <is>
          <t>Tiền mặt hàng năm (2026, 2025, 2024, 2023, 2022, 2021, 2020, 2019); Cổ tức CP (2026, 2025, 2024, 2023, 2022, 2021, 2020, 2019)</t>
        </is>
      </c>
    </row>
    <row r="103" ht="22" customHeight="1">
      <c r="A103" s="13" t="n">
        <v>100</v>
      </c>
      <c r="B103" s="5" t="inlineStr">
        <is>
          <t>VDS</t>
        </is>
      </c>
      <c r="C103" s="13" t="inlineStr">
        <is>
          <t>HOSE</t>
        </is>
      </c>
      <c r="D103" s="14" t="inlineStr">
        <is>
          <t>CTCP Chứng khoán Rồng Việt</t>
        </is>
      </c>
      <c r="E103" s="14" t="inlineStr">
        <is>
          <t>Dịch vụ tài chính</t>
        </is>
      </c>
      <c r="F103" s="14" t="inlineStr">
        <is>
          <t>Tài chính</t>
        </is>
      </c>
      <c r="G103" s="13" t="inlineStr">
        <is>
          <t>Thành viên</t>
        </is>
      </c>
      <c r="H103" s="15" t="n">
        <v>679850</v>
      </c>
      <c r="I103" s="16" t="n">
        <v>10900</v>
      </c>
      <c r="J103" s="17" t="inlineStr">
        <is>
          <t>Cả tiền mặt &amp; cổ phiếu</t>
        </is>
      </c>
      <c r="K103" s="11" t="inlineStr">
        <is>
          <t>Hàng năm</t>
        </is>
      </c>
      <c r="L103" s="12" t="inlineStr">
        <is>
          <t>Có</t>
        </is>
      </c>
      <c r="M103" s="14" t="inlineStr">
        <is>
          <t>2021, 2019, 2017</t>
        </is>
      </c>
      <c r="N103" s="14" t="inlineStr">
        <is>
          <t>2025, 2024, 2022, 2021, 2018</t>
        </is>
      </c>
      <c r="O103" s="14" t="inlineStr">
        <is>
          <t>Tiền mặt hàng năm (2021, 2019, 2017); Cổ tức CP (2025, 2024, 2022, 2021, 2018)</t>
        </is>
      </c>
    </row>
    <row r="104" ht="22" customHeight="1">
      <c r="A104" s="4" t="n">
        <v>101</v>
      </c>
      <c r="B104" s="22" t="inlineStr">
        <is>
          <t>DSE</t>
        </is>
      </c>
      <c r="C104" s="4" t="inlineStr">
        <is>
          <t>HOSE</t>
        </is>
      </c>
      <c r="D104" s="6" t="inlineStr">
        <is>
          <t>CTCP Chứng khoán DNSE</t>
        </is>
      </c>
      <c r="E104" s="6" t="inlineStr">
        <is>
          <t>Dịch vụ tài chính</t>
        </is>
      </c>
      <c r="F104" s="6" t="inlineStr">
        <is>
          <t>Tài chính</t>
        </is>
      </c>
      <c r="G104" s="4" t="inlineStr">
        <is>
          <t>Thành viên</t>
        </is>
      </c>
      <c r="H104" s="8" t="n">
        <v>540915</v>
      </c>
      <c r="I104" s="9" t="n">
        <v>22500</v>
      </c>
      <c r="J104" s="27" t="inlineStr">
        <is>
          <t>Tiền mặt hàng năm</t>
        </is>
      </c>
      <c r="K104" s="11" t="inlineStr">
        <is>
          <t>Hàng năm</t>
        </is>
      </c>
      <c r="L104" s="4" t="inlineStr">
        <is>
          <t>Không</t>
        </is>
      </c>
      <c r="M104" s="6" t="inlineStr">
        <is>
          <t>2026, 2024</t>
        </is>
      </c>
      <c r="N104" s="6" t="inlineStr">
        <is>
          <t>-</t>
        </is>
      </c>
      <c r="O104" s="6" t="inlineStr">
        <is>
          <t>Tiền mặt hàng năm (2026, 2024)</t>
        </is>
      </c>
    </row>
    <row r="105" ht="22" customHeight="1">
      <c r="A105" s="13" t="n">
        <v>102</v>
      </c>
      <c r="B105" s="25" t="inlineStr">
        <is>
          <t>APS</t>
        </is>
      </c>
      <c r="C105" s="13" t="inlineStr">
        <is>
          <t>HNX</t>
        </is>
      </c>
      <c r="D105" s="14" t="inlineStr">
        <is>
          <t>CTCP Chứng khoán Châu Á Thái Bình Dương</t>
        </is>
      </c>
      <c r="E105" s="14" t="inlineStr">
        <is>
          <t>Dịch vụ tài chính</t>
        </is>
      </c>
      <c r="F105" s="14" t="inlineStr">
        <is>
          <t>Tài chính</t>
        </is>
      </c>
      <c r="G105" s="13" t="inlineStr">
        <is>
          <t>Thành viên</t>
        </is>
      </c>
      <c r="H105" s="15" t="n">
        <v>406615</v>
      </c>
      <c r="I105" s="16" t="n">
        <v>6300</v>
      </c>
      <c r="J105" s="26" t="inlineStr">
        <is>
          <t>Chưa chia / Khác</t>
        </is>
      </c>
      <c r="K105" s="13" t="inlineStr">
        <is>
          <t>Không</t>
        </is>
      </c>
      <c r="L105" s="13" t="inlineStr">
        <is>
          <t>Không</t>
        </is>
      </c>
      <c r="M105" s="14" t="inlineStr">
        <is>
          <t>-</t>
        </is>
      </c>
      <c r="N105" s="14" t="inlineStr">
        <is>
          <t>-</t>
        </is>
      </c>
      <c r="O105" s="14" t="inlineStr">
        <is>
          <t>Chưa có lịch sử chia cổ tức</t>
        </is>
      </c>
    </row>
    <row r="106" ht="22" customHeight="1">
      <c r="A106" s="4" t="n">
        <v>103</v>
      </c>
      <c r="B106" s="18" t="inlineStr">
        <is>
          <t>SBS</t>
        </is>
      </c>
      <c r="C106" s="4" t="inlineStr">
        <is>
          <t>UPCOM</t>
        </is>
      </c>
      <c r="D106" s="6" t="inlineStr">
        <is>
          <t>CTCP Chứng khoán SBS</t>
        </is>
      </c>
      <c r="E106" s="6" t="inlineStr">
        <is>
          <t>Dịch vụ tài chính</t>
        </is>
      </c>
      <c r="F106" s="6" t="inlineStr">
        <is>
          <t>Tài chính</t>
        </is>
      </c>
      <c r="G106" s="4" t="inlineStr">
        <is>
          <t>Thành viên</t>
        </is>
      </c>
      <c r="H106" s="8" t="n">
        <v>403190</v>
      </c>
      <c r="I106" s="9" t="n">
        <v>4300</v>
      </c>
      <c r="J106" s="19" t="inlineStr">
        <is>
          <t>Chưa chia / Khác</t>
        </is>
      </c>
      <c r="K106" s="4" t="inlineStr">
        <is>
          <t>Không</t>
        </is>
      </c>
      <c r="L106" s="4" t="inlineStr">
        <is>
          <t>Không</t>
        </is>
      </c>
      <c r="M106" s="6" t="inlineStr">
        <is>
          <t>-</t>
        </is>
      </c>
      <c r="N106" s="6" t="inlineStr">
        <is>
          <t>-</t>
        </is>
      </c>
      <c r="O106" s="6" t="inlineStr">
        <is>
          <t>Chưa có lịch sử chia cổ tức</t>
        </is>
      </c>
    </row>
    <row r="107" ht="22" customHeight="1">
      <c r="A107" s="13" t="n">
        <v>104</v>
      </c>
      <c r="B107" s="5" t="inlineStr">
        <is>
          <t>BSI</t>
        </is>
      </c>
      <c r="C107" s="13" t="inlineStr">
        <is>
          <t>HOSE</t>
        </is>
      </c>
      <c r="D107" s="14" t="inlineStr">
        <is>
          <t>CTCP Chứng khoán BIDV</t>
        </is>
      </c>
      <c r="E107" s="14" t="inlineStr">
        <is>
          <t>Dịch vụ tài chính</t>
        </is>
      </c>
      <c r="F107" s="14" t="inlineStr">
        <is>
          <t>Tài chính</t>
        </is>
      </c>
      <c r="G107" s="13" t="inlineStr">
        <is>
          <t>Thành viên</t>
        </is>
      </c>
      <c r="H107" s="15" t="n">
        <v>329415</v>
      </c>
      <c r="I107" s="16" t="n">
        <v>27350</v>
      </c>
      <c r="J107" s="17" t="inlineStr">
        <is>
          <t>Cả tiền mặt &amp; cổ phiếu</t>
        </is>
      </c>
      <c r="K107" s="11" t="inlineStr">
        <is>
          <t>Hàng năm</t>
        </is>
      </c>
      <c r="L107" s="12" t="inlineStr">
        <is>
          <t>Có</t>
        </is>
      </c>
      <c r="M107" s="14" t="inlineStr">
        <is>
          <t>2023, 2022, 2021, 2019</t>
        </is>
      </c>
      <c r="N107" s="14" t="inlineStr">
        <is>
          <t>2026, 2025, 2024, 2023, 2019, 2018, 2017, 2016</t>
        </is>
      </c>
      <c r="O107" s="14" t="inlineStr">
        <is>
          <t>Tiền mặt hàng năm (2023, 2022, 2021, 2019); Cổ tức CP (2026, 2025, 2024, 2023, 2019, 2018, 2017, 2016)</t>
        </is>
      </c>
    </row>
    <row r="108" ht="22" customHeight="1">
      <c r="A108" s="4" t="n">
        <v>105</v>
      </c>
      <c r="B108" s="18" t="inlineStr">
        <is>
          <t>KAI</t>
        </is>
      </c>
      <c r="C108" s="4" t="inlineStr">
        <is>
          <t>UPCOM</t>
        </is>
      </c>
      <c r="D108" s="6" t="inlineStr">
        <is>
          <t>CTCP Chứng khoán KAFI</t>
        </is>
      </c>
      <c r="E108" s="6" t="inlineStr">
        <is>
          <t>Dịch vụ tài chính</t>
        </is>
      </c>
      <c r="F108" s="6" t="inlineStr">
        <is>
          <t>Tài chính</t>
        </is>
      </c>
      <c r="G108" s="4" t="inlineStr">
        <is>
          <t>Thành viên</t>
        </is>
      </c>
      <c r="H108" s="8" t="n">
        <v>305600</v>
      </c>
      <c r="I108" s="9" t="n">
        <v>12100</v>
      </c>
      <c r="J108" s="19" t="inlineStr">
        <is>
          <t>Chưa chia / Khác</t>
        </is>
      </c>
      <c r="K108" s="4" t="inlineStr">
        <is>
          <t>Không</t>
        </is>
      </c>
      <c r="L108" s="4" t="inlineStr">
        <is>
          <t>Không</t>
        </is>
      </c>
      <c r="M108" s="6" t="inlineStr">
        <is>
          <t>-</t>
        </is>
      </c>
      <c r="N108" s="6" t="inlineStr">
        <is>
          <t>-</t>
        </is>
      </c>
      <c r="O108" s="6" t="inlineStr">
        <is>
          <t>Chưa có lịch sử chia cổ tức</t>
        </is>
      </c>
    </row>
    <row r="109" ht="22" customHeight="1">
      <c r="A109" s="13" t="n">
        <v>106</v>
      </c>
      <c r="B109" s="20" t="inlineStr">
        <is>
          <t>EVS</t>
        </is>
      </c>
      <c r="C109" s="13" t="inlineStr">
        <is>
          <t>HNX</t>
        </is>
      </c>
      <c r="D109" s="14" t="inlineStr">
        <is>
          <t>CTCP Chứng khoán EVS</t>
        </is>
      </c>
      <c r="E109" s="14" t="inlineStr">
        <is>
          <t>Dịch vụ tài chính</t>
        </is>
      </c>
      <c r="F109" s="14" t="inlineStr">
        <is>
          <t>Tài chính</t>
        </is>
      </c>
      <c r="G109" s="13" t="inlineStr">
        <is>
          <t>Thành viên</t>
        </is>
      </c>
      <c r="H109" s="15" t="n">
        <v>247900</v>
      </c>
      <c r="I109" s="16" t="n">
        <v>5400</v>
      </c>
      <c r="J109" s="21" t="inlineStr">
        <is>
          <t>Cổ tức cổ phiếu</t>
        </is>
      </c>
      <c r="K109" s="13" t="inlineStr">
        <is>
          <t>Không</t>
        </is>
      </c>
      <c r="L109" s="12" t="inlineStr">
        <is>
          <t>Có</t>
        </is>
      </c>
      <c r="M109" s="14" t="inlineStr">
        <is>
          <t>-</t>
        </is>
      </c>
      <c r="N109" s="14" t="inlineStr">
        <is>
          <t>2023</t>
        </is>
      </c>
      <c r="O109" s="14" t="inlineStr">
        <is>
          <t>Cổ tức CP (2023)</t>
        </is>
      </c>
    </row>
    <row r="110" ht="22" customHeight="1">
      <c r="A110" s="4" t="n">
        <v>107</v>
      </c>
      <c r="B110" s="5" t="inlineStr">
        <is>
          <t>AGR</t>
        </is>
      </c>
      <c r="C110" s="4" t="inlineStr">
        <is>
          <t>HOSE</t>
        </is>
      </c>
      <c r="D110" s="6" t="inlineStr">
        <is>
          <t>CTCP Chứng khoán Agribank</t>
        </is>
      </c>
      <c r="E110" s="6" t="inlineStr">
        <is>
          <t>Dịch vụ tài chính</t>
        </is>
      </c>
      <c r="F110" s="6" t="inlineStr">
        <is>
          <t>Tài chính</t>
        </is>
      </c>
      <c r="G110" s="4" t="inlineStr">
        <is>
          <t>Thành viên</t>
        </is>
      </c>
      <c r="H110" s="8" t="n">
        <v>235830</v>
      </c>
      <c r="I110" s="9" t="n">
        <v>12900</v>
      </c>
      <c r="J110" s="10" t="inlineStr">
        <is>
          <t>Cả tiền mặt &amp; cổ phiếu</t>
        </is>
      </c>
      <c r="K110" s="11" t="inlineStr">
        <is>
          <t>Hàng năm</t>
        </is>
      </c>
      <c r="L110" s="12" t="inlineStr">
        <is>
          <t>Có</t>
        </is>
      </c>
      <c r="M110" s="6" t="inlineStr">
        <is>
          <t>2024, 2023, 2014, 2011</t>
        </is>
      </c>
      <c r="N110" s="6" t="inlineStr">
        <is>
          <t>2025, 2022</t>
        </is>
      </c>
      <c r="O110" s="6" t="inlineStr">
        <is>
          <t>Tiền mặt hàng năm (2024, 2023, 2014, 2011); Cổ tức CP (2025, 2022)</t>
        </is>
      </c>
    </row>
    <row r="111" ht="22" customHeight="1">
      <c r="A111" s="13" t="n">
        <v>108</v>
      </c>
      <c r="B111" s="20" t="inlineStr">
        <is>
          <t>OGC</t>
        </is>
      </c>
      <c r="C111" s="13" t="inlineStr">
        <is>
          <t>HOSE</t>
        </is>
      </c>
      <c r="D111" s="14" t="inlineStr">
        <is>
          <t>CTCP Tập đoàn Đại Dương</t>
        </is>
      </c>
      <c r="E111" s="14" t="inlineStr">
        <is>
          <t>Dịch vụ tài chính</t>
        </is>
      </c>
      <c r="F111" s="14" t="inlineStr">
        <is>
          <t>Tài chính</t>
        </is>
      </c>
      <c r="G111" s="13" t="inlineStr">
        <is>
          <t>Thành viên</t>
        </is>
      </c>
      <c r="H111" s="15" t="n">
        <v>235265</v>
      </c>
      <c r="I111" s="16" t="n">
        <v>2120</v>
      </c>
      <c r="J111" s="21" t="inlineStr">
        <is>
          <t>Cổ tức cổ phiếu</t>
        </is>
      </c>
      <c r="K111" s="13" t="inlineStr">
        <is>
          <t>Có</t>
        </is>
      </c>
      <c r="L111" s="12" t="inlineStr">
        <is>
          <t>Có</t>
        </is>
      </c>
      <c r="M111" s="14" t="inlineStr">
        <is>
          <t>2013</t>
        </is>
      </c>
      <c r="N111" s="14" t="inlineStr">
        <is>
          <t>2011</t>
        </is>
      </c>
      <c r="O111" s="14" t="inlineStr">
        <is>
          <t>Tiền mặt (2013); Cổ tức CP (2011)</t>
        </is>
      </c>
    </row>
    <row r="112" ht="22" customHeight="1">
      <c r="A112" s="4" t="n">
        <v>109</v>
      </c>
      <c r="B112" s="20" t="inlineStr">
        <is>
          <t>APG</t>
        </is>
      </c>
      <c r="C112" s="4" t="inlineStr">
        <is>
          <t>HOSE</t>
        </is>
      </c>
      <c r="D112" s="6" t="inlineStr">
        <is>
          <t>CTCP Chứng khoán APG</t>
        </is>
      </c>
      <c r="E112" s="6" t="inlineStr">
        <is>
          <t>Dịch vụ tài chính</t>
        </is>
      </c>
      <c r="F112" s="6" t="inlineStr">
        <is>
          <t>Tài chính</t>
        </is>
      </c>
      <c r="G112" s="4" t="inlineStr">
        <is>
          <t>Thành viên</t>
        </is>
      </c>
      <c r="H112" s="8" t="n">
        <v>182670</v>
      </c>
      <c r="I112" s="9" t="n">
        <v>4600</v>
      </c>
      <c r="J112" s="24" t="inlineStr">
        <is>
          <t>Cổ tức cổ phiếu</t>
        </is>
      </c>
      <c r="K112" s="4" t="inlineStr">
        <is>
          <t>Có</t>
        </is>
      </c>
      <c r="L112" s="12" t="inlineStr">
        <is>
          <t>Có</t>
        </is>
      </c>
      <c r="M112" s="6" t="inlineStr">
        <is>
          <t>2018, 2010</t>
        </is>
      </c>
      <c r="N112" s="6" t="inlineStr">
        <is>
          <t>2021</t>
        </is>
      </c>
      <c r="O112" s="6" t="inlineStr">
        <is>
          <t>Tiền mặt (2018, 2010); Cổ tức CP (2021)</t>
        </is>
      </c>
    </row>
    <row r="113" ht="22" customHeight="1">
      <c r="A113" s="13" t="n">
        <v>110</v>
      </c>
      <c r="B113" s="25" t="inlineStr">
        <is>
          <t>ABW</t>
        </is>
      </c>
      <c r="C113" s="13" t="inlineStr">
        <is>
          <t>UPCOM</t>
        </is>
      </c>
      <c r="D113" s="14" t="inlineStr">
        <is>
          <t>CTCP Chứng khoán An Bình</t>
        </is>
      </c>
      <c r="E113" s="14" t="inlineStr">
        <is>
          <t>Dịch vụ tài chính</t>
        </is>
      </c>
      <c r="F113" s="14" t="inlineStr">
        <is>
          <t>Tài chính</t>
        </is>
      </c>
      <c r="G113" s="13" t="inlineStr">
        <is>
          <t>Thành viên</t>
        </is>
      </c>
      <c r="H113" s="15" t="n">
        <v>157605</v>
      </c>
      <c r="I113" s="16" t="n">
        <v>14400</v>
      </c>
      <c r="J113" s="26" t="inlineStr">
        <is>
          <t>Chưa chia / Khác</t>
        </is>
      </c>
      <c r="K113" s="13" t="inlineStr">
        <is>
          <t>Không</t>
        </is>
      </c>
      <c r="L113" s="13" t="inlineStr">
        <is>
          <t>Không</t>
        </is>
      </c>
      <c r="M113" s="14" t="inlineStr">
        <is>
          <t>-</t>
        </is>
      </c>
      <c r="N113" s="14" t="inlineStr">
        <is>
          <t>-</t>
        </is>
      </c>
      <c r="O113" s="14" t="inlineStr">
        <is>
          <t>Chưa có lịch sử chia cổ tức</t>
        </is>
      </c>
    </row>
    <row r="114" ht="22" customHeight="1">
      <c r="A114" s="4" t="n">
        <v>111</v>
      </c>
      <c r="B114" s="20" t="inlineStr">
        <is>
          <t>F88</t>
        </is>
      </c>
      <c r="C114" s="4" t="inlineStr">
        <is>
          <t>UPCOM</t>
        </is>
      </c>
      <c r="D114" s="6" t="inlineStr">
        <is>
          <t>CTCP Đầu tư F88</t>
        </is>
      </c>
      <c r="E114" s="6" t="inlineStr">
        <is>
          <t>Dịch vụ tài chính</t>
        </is>
      </c>
      <c r="F114" s="6" t="inlineStr">
        <is>
          <t>Tài chính</t>
        </is>
      </c>
      <c r="G114" s="4" t="inlineStr">
        <is>
          <t>Thành viên</t>
        </is>
      </c>
      <c r="H114" s="8" t="n">
        <v>152480</v>
      </c>
      <c r="I114" s="9" t="n">
        <v>60300</v>
      </c>
      <c r="J114" s="24" t="inlineStr">
        <is>
          <t>Cổ tức cổ phiếu</t>
        </is>
      </c>
      <c r="K114" s="4" t="inlineStr">
        <is>
          <t>Không</t>
        </is>
      </c>
      <c r="L114" s="12" t="inlineStr">
        <is>
          <t>Có</t>
        </is>
      </c>
      <c r="M114" s="6" t="inlineStr">
        <is>
          <t>-</t>
        </is>
      </c>
      <c r="N114" s="6" t="inlineStr">
        <is>
          <t>2026</t>
        </is>
      </c>
      <c r="O114" s="6" t="inlineStr">
        <is>
          <t>Cổ tức CP (2026)</t>
        </is>
      </c>
    </row>
    <row r="115" ht="22" customHeight="1">
      <c r="A115" s="13" t="n">
        <v>112</v>
      </c>
      <c r="B115" s="5" t="inlineStr">
        <is>
          <t>TVS</t>
        </is>
      </c>
      <c r="C115" s="13" t="inlineStr">
        <is>
          <t>HOSE</t>
        </is>
      </c>
      <c r="D115" s="14" t="inlineStr">
        <is>
          <t>CTCP Chứng khoán Thiên Việt</t>
        </is>
      </c>
      <c r="E115" s="14" t="inlineStr">
        <is>
          <t>Dịch vụ tài chính</t>
        </is>
      </c>
      <c r="F115" s="14" t="inlineStr">
        <is>
          <t>Tài chính</t>
        </is>
      </c>
      <c r="G115" s="13" t="inlineStr">
        <is>
          <t>Thành viên</t>
        </is>
      </c>
      <c r="H115" s="15" t="n">
        <v>147765</v>
      </c>
      <c r="I115" s="16" t="n">
        <v>14300</v>
      </c>
      <c r="J115" s="17" t="inlineStr">
        <is>
          <t>Cả tiền mặt &amp; cổ phiếu</t>
        </is>
      </c>
      <c r="K115" s="11" t="inlineStr">
        <is>
          <t>Hàng năm</t>
        </is>
      </c>
      <c r="L115" s="12" t="inlineStr">
        <is>
          <t>Có</t>
        </is>
      </c>
      <c r="M115" s="14" t="inlineStr">
        <is>
          <t>2021, 2019, 2018, 2017, 2016, 2015</t>
        </is>
      </c>
      <c r="N115" s="14" t="inlineStr">
        <is>
          <t>2026, 2024, 2023, 2021, 2020, 2019, 2018, 2017</t>
        </is>
      </c>
      <c r="O115" s="14" t="inlineStr">
        <is>
          <t>Tiền mặt hàng năm (2021, 2019, 2018, 2017, 2016, 2015); Cổ tức CP (2026, 2024, 2023, 2021, 2020, 2019, 2018, 2017)</t>
        </is>
      </c>
    </row>
    <row r="116" ht="22" customHeight="1">
      <c r="A116" s="4" t="n">
        <v>113</v>
      </c>
      <c r="B116" s="18" t="inlineStr">
        <is>
          <t>PSI</t>
        </is>
      </c>
      <c r="C116" s="4" t="inlineStr">
        <is>
          <t>HNX</t>
        </is>
      </c>
      <c r="D116" s="6" t="inlineStr">
        <is>
          <t>CTCP Chứng khoán Dầu khí</t>
        </is>
      </c>
      <c r="E116" s="6" t="inlineStr">
        <is>
          <t>Dịch vụ tài chính</t>
        </is>
      </c>
      <c r="F116" s="6" t="inlineStr">
        <is>
          <t>Tài chính</t>
        </is>
      </c>
      <c r="G116" s="4" t="inlineStr">
        <is>
          <t>Thành viên</t>
        </is>
      </c>
      <c r="H116" s="8" t="n">
        <v>127250</v>
      </c>
      <c r="I116" s="9" t="n">
        <v>8300</v>
      </c>
      <c r="J116" s="19" t="inlineStr">
        <is>
          <t>Tiền mặt không đều</t>
        </is>
      </c>
      <c r="K116" s="4" t="inlineStr">
        <is>
          <t>Có</t>
        </is>
      </c>
      <c r="L116" s="4" t="inlineStr">
        <is>
          <t>Không</t>
        </is>
      </c>
      <c r="M116" s="6" t="inlineStr">
        <is>
          <t>2010</t>
        </is>
      </c>
      <c r="N116" s="6" t="inlineStr">
        <is>
          <t>-</t>
        </is>
      </c>
      <c r="O116" s="6" t="inlineStr">
        <is>
          <t>Tiền mặt (2010)</t>
        </is>
      </c>
    </row>
    <row r="117" ht="22" customHeight="1">
      <c r="A117" s="13" t="n">
        <v>114</v>
      </c>
      <c r="B117" s="20" t="inlineStr">
        <is>
          <t>HVA</t>
        </is>
      </c>
      <c r="C117" s="13" t="inlineStr">
        <is>
          <t>UPCOM</t>
        </is>
      </c>
      <c r="D117" s="14" t="inlineStr">
        <is>
          <t>CTCP Đầu tư HVA</t>
        </is>
      </c>
      <c r="E117" s="14" t="inlineStr">
        <is>
          <t>Dịch vụ tài chính</t>
        </is>
      </c>
      <c r="F117" s="14" t="inlineStr">
        <is>
          <t>Tài chính</t>
        </is>
      </c>
      <c r="G117" s="13" t="inlineStr">
        <is>
          <t>Thành viên</t>
        </is>
      </c>
      <c r="H117" s="15" t="n">
        <v>57785.71428571428</v>
      </c>
      <c r="I117" s="16" t="n">
        <v>2900</v>
      </c>
      <c r="J117" s="21" t="inlineStr">
        <is>
          <t>Cổ tức cổ phiếu</t>
        </is>
      </c>
      <c r="K117" s="13" t="inlineStr">
        <is>
          <t>Không</t>
        </is>
      </c>
      <c r="L117" s="12" t="inlineStr">
        <is>
          <t>Có</t>
        </is>
      </c>
      <c r="M117" s="14" t="inlineStr">
        <is>
          <t>-</t>
        </is>
      </c>
      <c r="N117" s="14" t="inlineStr">
        <is>
          <t>2015</t>
        </is>
      </c>
      <c r="O117" s="14" t="inlineStr">
        <is>
          <t>Cổ tức CP (2015)</t>
        </is>
      </c>
    </row>
    <row r="118" ht="22" customHeight="1">
      <c r="A118" s="4" t="n">
        <v>115</v>
      </c>
      <c r="B118" s="20" t="inlineStr">
        <is>
          <t>BMS</t>
        </is>
      </c>
      <c r="C118" s="4" t="inlineStr">
        <is>
          <t>UPCOM</t>
        </is>
      </c>
      <c r="D118" s="6" t="inlineStr">
        <is>
          <t>CTCP Chứng khoán Bảo Minh</t>
        </is>
      </c>
      <c r="E118" s="6" t="inlineStr">
        <is>
          <t>Dịch vụ tài chính</t>
        </is>
      </c>
      <c r="F118" s="6" t="inlineStr">
        <is>
          <t>Tài chính</t>
        </is>
      </c>
      <c r="G118" s="4" t="inlineStr">
        <is>
          <t>Thành viên</t>
        </is>
      </c>
      <c r="H118" s="8" t="n">
        <v>56915</v>
      </c>
      <c r="I118" s="9" t="n">
        <v>12200</v>
      </c>
      <c r="J118" s="24" t="inlineStr">
        <is>
          <t>Cổ tức cổ phiếu</t>
        </is>
      </c>
      <c r="K118" s="4" t="inlineStr">
        <is>
          <t>Không</t>
        </is>
      </c>
      <c r="L118" s="12" t="inlineStr">
        <is>
          <t>Có</t>
        </is>
      </c>
      <c r="M118" s="6" t="inlineStr">
        <is>
          <t>-</t>
        </is>
      </c>
      <c r="N118" s="6" t="inlineStr">
        <is>
          <t>2026, 2025, 2024, 2023, 2022, 2021</t>
        </is>
      </c>
      <c r="O118" s="6" t="inlineStr">
        <is>
          <t>Cổ tức CP (2026, 2025, 2024, 2023, 2022, 2021)</t>
        </is>
      </c>
    </row>
    <row r="119" ht="22" customHeight="1">
      <c r="A119" s="13" t="n">
        <v>116</v>
      </c>
      <c r="B119" s="5" t="inlineStr">
        <is>
          <t>VSC</t>
        </is>
      </c>
      <c r="C119" s="13" t="inlineStr">
        <is>
          <t>HOSE</t>
        </is>
      </c>
      <c r="D119" s="14" t="inlineStr">
        <is>
          <t>CTCP Container Việt Nam</t>
        </is>
      </c>
      <c r="E119" s="14" t="inlineStr">
        <is>
          <t>Hàng &amp; Dịch vụ Công nghiệp</t>
        </is>
      </c>
      <c r="F119" s="14" t="inlineStr">
        <is>
          <t>Công nghiệp</t>
        </is>
      </c>
      <c r="G119" s="7" t="inlineStr">
        <is>
          <t>⭐ Đầu ngành</t>
        </is>
      </c>
      <c r="H119" s="15" t="n">
        <v>10176935</v>
      </c>
      <c r="I119" s="16" t="n">
        <v>13350</v>
      </c>
      <c r="J119" s="17" t="inlineStr">
        <is>
          <t>Cả tiền mặt &amp; cổ phiếu</t>
        </is>
      </c>
      <c r="K119" s="11" t="inlineStr">
        <is>
          <t>Hàng năm</t>
        </is>
      </c>
      <c r="L119" s="12" t="inlineStr">
        <is>
          <t>Có</t>
        </is>
      </c>
      <c r="M119" s="14" t="inlineStr">
        <is>
          <t>2025, 2022, 2021, 2020, 2019, 2018, 2017, 2016</t>
        </is>
      </c>
      <c r="N119" s="14" t="inlineStr">
        <is>
          <t>2025, 2024, 2023, 2022, 2019, 2017, 2016, 2015</t>
        </is>
      </c>
      <c r="O119" s="14" t="inlineStr">
        <is>
          <t>Tiền mặt hàng năm (2025, 2022, 2021, 2020, 2019, 2018, 2017, 2016); Cổ tức CP (2025, 2024, 2023, 2022, 2019, 2017, 2016, 2015)</t>
        </is>
      </c>
    </row>
    <row r="120" ht="22" customHeight="1">
      <c r="A120" s="4" t="n">
        <v>117</v>
      </c>
      <c r="B120" s="5" t="inlineStr">
        <is>
          <t>GEX</t>
        </is>
      </c>
      <c r="C120" s="4" t="inlineStr">
        <is>
          <t>HOSE</t>
        </is>
      </c>
      <c r="D120" s="6" t="inlineStr">
        <is>
          <t>CTCP Tập đoàn GELEX</t>
        </is>
      </c>
      <c r="E120" s="6" t="inlineStr">
        <is>
          <t>Hàng &amp; Dịch vụ Công nghiệp</t>
        </is>
      </c>
      <c r="F120" s="6" t="inlineStr">
        <is>
          <t>Công nghiệp</t>
        </is>
      </c>
      <c r="G120" s="7" t="inlineStr">
        <is>
          <t>⭐ Đầu ngành</t>
        </is>
      </c>
      <c r="H120" s="8" t="n">
        <v>9779330</v>
      </c>
      <c r="I120" s="9" t="n">
        <v>24400</v>
      </c>
      <c r="J120" s="10" t="inlineStr">
        <is>
          <t>Cả tiền mặt &amp; cổ phiếu</t>
        </is>
      </c>
      <c r="K120" s="11" t="inlineStr">
        <is>
          <t>Hàng năm</t>
        </is>
      </c>
      <c r="L120" s="12" t="inlineStr">
        <is>
          <t>Có</t>
        </is>
      </c>
      <c r="M120" s="6" t="inlineStr">
        <is>
          <t>2025, 2022, 2018, 2017, 2016</t>
        </is>
      </c>
      <c r="N120" s="6" t="inlineStr">
        <is>
          <t>2026, 2025, 2021, 2019, 2018, 2017</t>
        </is>
      </c>
      <c r="O120" s="6" t="inlineStr">
        <is>
          <t>Tiền mặt hàng năm (2025, 2022, 2018, 2017, 2016); Cổ tức CP (2026, 2025, 2021, 2019, 2018, 2017)</t>
        </is>
      </c>
    </row>
    <row r="121" ht="22" customHeight="1">
      <c r="A121" s="13" t="n">
        <v>118</v>
      </c>
      <c r="B121" s="5" t="inlineStr">
        <is>
          <t>PVT</t>
        </is>
      </c>
      <c r="C121" s="13" t="inlineStr">
        <is>
          <t>HOSE</t>
        </is>
      </c>
      <c r="D121" s="14" t="inlineStr">
        <is>
          <t>Tổng Công ty cổ phần Vận tải Dầu khí</t>
        </is>
      </c>
      <c r="E121" s="14" t="inlineStr">
        <is>
          <t>Hàng &amp; Dịch vụ Công nghiệp</t>
        </is>
      </c>
      <c r="F121" s="14" t="inlineStr">
        <is>
          <t>Công nghiệp</t>
        </is>
      </c>
      <c r="G121" s="7" t="inlineStr">
        <is>
          <t>⭐ Đầu ngành</t>
        </is>
      </c>
      <c r="H121" s="15" t="n">
        <v>5558045</v>
      </c>
      <c r="I121" s="16" t="n">
        <v>22800</v>
      </c>
      <c r="J121" s="17" t="inlineStr">
        <is>
          <t>Cả tiền mặt &amp; cổ phiếu</t>
        </is>
      </c>
      <c r="K121" s="11" t="inlineStr">
        <is>
          <t>Hàng năm</t>
        </is>
      </c>
      <c r="L121" s="12" t="inlineStr">
        <is>
          <t>Có</t>
        </is>
      </c>
      <c r="M121" s="14" t="inlineStr">
        <is>
          <t>2024, 2023, 2021, 2020, 2019, 2017, 2016</t>
        </is>
      </c>
      <c r="N121" s="14" t="inlineStr">
        <is>
          <t>2026, 2025, 2024, 2020, 2016, 2014</t>
        </is>
      </c>
      <c r="O121" s="14" t="inlineStr">
        <is>
          <t>Tiền mặt hàng năm (2024, 2023, 2021, 2020, 2019, 2017, 2016); Cổ tức CP (2026, 2025, 2024, 2020, 2016, 2014)</t>
        </is>
      </c>
    </row>
    <row r="122" ht="22" customHeight="1">
      <c r="A122" s="4" t="n">
        <v>119</v>
      </c>
      <c r="B122" s="5" t="inlineStr">
        <is>
          <t>GEE</t>
        </is>
      </c>
      <c r="C122" s="4" t="inlineStr">
        <is>
          <t>HOSE</t>
        </is>
      </c>
      <c r="D122" s="6" t="inlineStr">
        <is>
          <t>CTCP Điện lực Gelex</t>
        </is>
      </c>
      <c r="E122" s="6" t="inlineStr">
        <is>
          <t>Hàng &amp; Dịch vụ Công nghiệp</t>
        </is>
      </c>
      <c r="F122" s="6" t="inlineStr">
        <is>
          <t>Công nghiệp</t>
        </is>
      </c>
      <c r="G122" s="7" t="inlineStr">
        <is>
          <t>⭐ Đầu ngành</t>
        </is>
      </c>
      <c r="H122" s="8" t="n">
        <v>1400230</v>
      </c>
      <c r="I122" s="9" t="n">
        <v>63900</v>
      </c>
      <c r="J122" s="10" t="inlineStr">
        <is>
          <t>Cả tiền mặt &amp; cổ phiếu</t>
        </is>
      </c>
      <c r="K122" s="11" t="inlineStr">
        <is>
          <t>Hàng năm</t>
        </is>
      </c>
      <c r="L122" s="12" t="inlineStr">
        <is>
          <t>Có</t>
        </is>
      </c>
      <c r="M122" s="6" t="inlineStr">
        <is>
          <t>2026, 2025, 2024, 2023, 2022</t>
        </is>
      </c>
      <c r="N122" s="6" t="inlineStr">
        <is>
          <t>2026, 2025</t>
        </is>
      </c>
      <c r="O122" s="6" t="inlineStr">
        <is>
          <t>Tiền mặt hàng năm (2026, 2025, 2024, 2023, 2022); Cổ tức CP (2026, 2025)</t>
        </is>
      </c>
    </row>
    <row r="123" ht="22" customHeight="1">
      <c r="A123" s="13" t="n">
        <v>120</v>
      </c>
      <c r="B123" s="5" t="inlineStr">
        <is>
          <t>GMD</t>
        </is>
      </c>
      <c r="C123" s="13" t="inlineStr">
        <is>
          <t>HOSE</t>
        </is>
      </c>
      <c r="D123" s="14" t="inlineStr">
        <is>
          <t>CTCP Tập đoàn Gemadept</t>
        </is>
      </c>
      <c r="E123" s="14" t="inlineStr">
        <is>
          <t>Hàng &amp; Dịch vụ Công nghiệp</t>
        </is>
      </c>
      <c r="F123" s="14" t="inlineStr">
        <is>
          <t>Công nghiệp</t>
        </is>
      </c>
      <c r="G123" s="7" t="inlineStr">
        <is>
          <t>⭐ Đầu ngành</t>
        </is>
      </c>
      <c r="H123" s="15" t="n">
        <v>955670</v>
      </c>
      <c r="I123" s="16" t="n">
        <v>77300</v>
      </c>
      <c r="J123" s="17" t="inlineStr">
        <is>
          <t>Cả tiền mặt &amp; cổ phiếu</t>
        </is>
      </c>
      <c r="K123" s="11" t="inlineStr">
        <is>
          <t>Hàng năm</t>
        </is>
      </c>
      <c r="L123" s="12" t="inlineStr">
        <is>
          <t>Có</t>
        </is>
      </c>
      <c r="M123" s="14" t="inlineStr">
        <is>
          <t>2026, 2025, 2024, 2023, 2022, 2021, 2020, 2019</t>
        </is>
      </c>
      <c r="N123" s="14" t="inlineStr">
        <is>
          <t>2016</t>
        </is>
      </c>
      <c r="O123" s="14" t="inlineStr">
        <is>
          <t>Tiền mặt hàng năm (2026, 2025, 2024, 2023, 2022, 2021, 2020, 2019); Cổ tức CP (2016)</t>
        </is>
      </c>
    </row>
    <row r="124" ht="22" customHeight="1">
      <c r="A124" s="4" t="n">
        <v>121</v>
      </c>
      <c r="B124" s="5" t="inlineStr">
        <is>
          <t>HAH</t>
        </is>
      </c>
      <c r="C124" s="4" t="inlineStr">
        <is>
          <t>HOSE</t>
        </is>
      </c>
      <c r="D124" s="6" t="inlineStr">
        <is>
          <t>CTCP Vận tải và Xếp dỡ Hải An</t>
        </is>
      </c>
      <c r="E124" s="6" t="inlineStr">
        <is>
          <t>Hàng &amp; Dịch vụ Công nghiệp</t>
        </is>
      </c>
      <c r="F124" s="6" t="inlineStr">
        <is>
          <t>Công nghiệp</t>
        </is>
      </c>
      <c r="G124" s="7" t="inlineStr">
        <is>
          <t>⭐ Đầu ngành</t>
        </is>
      </c>
      <c r="H124" s="8" t="n">
        <v>726735</v>
      </c>
      <c r="I124" s="9" t="n">
        <v>47950</v>
      </c>
      <c r="J124" s="10" t="inlineStr">
        <is>
          <t>Cả tiền mặt &amp; cổ phiếu</t>
        </is>
      </c>
      <c r="K124" s="11" t="inlineStr">
        <is>
          <t>Hàng năm</t>
        </is>
      </c>
      <c r="L124" s="12" t="inlineStr">
        <is>
          <t>Có</t>
        </is>
      </c>
      <c r="M124" s="6" t="inlineStr">
        <is>
          <t>2026, 2025, 2022, 2021, 2020, 2019, 2018, 2017</t>
        </is>
      </c>
      <c r="N124" s="6" t="inlineStr">
        <is>
          <t>2025, 2024, 2023, 2022, 2017</t>
        </is>
      </c>
      <c r="O124" s="6" t="inlineStr">
        <is>
          <t>Tiền mặt hàng năm (2026, 2025, 2022, 2021, 2020, 2019, 2018, 2017); Cổ tức CP (2025, 2024, 2023, 2022, 2017)</t>
        </is>
      </c>
    </row>
    <row r="125" ht="22" customHeight="1">
      <c r="A125" s="13" t="n">
        <v>122</v>
      </c>
      <c r="B125" s="5" t="inlineStr">
        <is>
          <t>PVP</t>
        </is>
      </c>
      <c r="C125" s="13" t="inlineStr">
        <is>
          <t>HOSE</t>
        </is>
      </c>
      <c r="D125" s="14" t="inlineStr">
        <is>
          <t>CTCP Vận tải Dầu khí Thái Bình Dương</t>
        </is>
      </c>
      <c r="E125" s="14" t="inlineStr">
        <is>
          <t>Hàng &amp; Dịch vụ Công nghiệp</t>
        </is>
      </c>
      <c r="F125" s="14" t="inlineStr">
        <is>
          <t>Công nghiệp</t>
        </is>
      </c>
      <c r="G125" s="13" t="inlineStr">
        <is>
          <t>Thành viên</t>
        </is>
      </c>
      <c r="H125" s="15" t="n">
        <v>820450</v>
      </c>
      <c r="I125" s="16" t="n">
        <v>18100</v>
      </c>
      <c r="J125" s="17" t="inlineStr">
        <is>
          <t>Cả tiền mặt &amp; cổ phiếu</t>
        </is>
      </c>
      <c r="K125" s="11" t="inlineStr">
        <is>
          <t>Hàng năm</t>
        </is>
      </c>
      <c r="L125" s="12" t="inlineStr">
        <is>
          <t>Có</t>
        </is>
      </c>
      <c r="M125" s="14" t="inlineStr">
        <is>
          <t>2026, 2025, 2024, 2023, 2022, 2021, 2020, 2019</t>
        </is>
      </c>
      <c r="N125" s="14" t="inlineStr">
        <is>
          <t>2024</t>
        </is>
      </c>
      <c r="O125" s="14" t="inlineStr">
        <is>
          <t>Tiền mặt hàng năm (2026, 2025, 2024, 2023, 2022, 2021, 2020, 2019); Cổ tức CP (2024)</t>
        </is>
      </c>
    </row>
    <row r="126" ht="22" customHeight="1">
      <c r="A126" s="4" t="n">
        <v>123</v>
      </c>
      <c r="B126" s="18" t="inlineStr">
        <is>
          <t>VOS</t>
        </is>
      </c>
      <c r="C126" s="4" t="inlineStr">
        <is>
          <t>HOSE</t>
        </is>
      </c>
      <c r="D126" s="6" t="inlineStr">
        <is>
          <t>CTCP Vận tải Biển Việt Nam</t>
        </is>
      </c>
      <c r="E126" s="6" t="inlineStr">
        <is>
          <t>Hàng &amp; Dịch vụ Công nghiệp</t>
        </is>
      </c>
      <c r="F126" s="6" t="inlineStr">
        <is>
          <t>Công nghiệp</t>
        </is>
      </c>
      <c r="G126" s="4" t="inlineStr">
        <is>
          <t>Thành viên</t>
        </is>
      </c>
      <c r="H126" s="8" t="n">
        <v>587100</v>
      </c>
      <c r="I126" s="9" t="n">
        <v>11950</v>
      </c>
      <c r="J126" s="19" t="inlineStr">
        <is>
          <t>Tiền mặt không đều</t>
        </is>
      </c>
      <c r="K126" s="4" t="inlineStr">
        <is>
          <t>Có</t>
        </is>
      </c>
      <c r="L126" s="4" t="inlineStr">
        <is>
          <t>Không</t>
        </is>
      </c>
      <c r="M126" s="6" t="inlineStr">
        <is>
          <t>2025, 2011</t>
        </is>
      </c>
      <c r="N126" s="6" t="inlineStr">
        <is>
          <t>-</t>
        </is>
      </c>
      <c r="O126" s="6" t="inlineStr">
        <is>
          <t>Tiền mặt (2025, 2011)</t>
        </is>
      </c>
    </row>
    <row r="127" ht="22" customHeight="1">
      <c r="A127" s="13" t="n">
        <v>124</v>
      </c>
      <c r="B127" s="5" t="inlineStr">
        <is>
          <t>VTP</t>
        </is>
      </c>
      <c r="C127" s="13" t="inlineStr">
        <is>
          <t>HOSE</t>
        </is>
      </c>
      <c r="D127" s="14" t="inlineStr">
        <is>
          <t>Tổng Công ty cổ phần Bưu chính Viettel</t>
        </is>
      </c>
      <c r="E127" s="14" t="inlineStr">
        <is>
          <t>Hàng &amp; Dịch vụ Công nghiệp</t>
        </is>
      </c>
      <c r="F127" s="14" t="inlineStr">
        <is>
          <t>Công nghiệp</t>
        </is>
      </c>
      <c r="G127" s="13" t="inlineStr">
        <is>
          <t>Thành viên</t>
        </is>
      </c>
      <c r="H127" s="15" t="n">
        <v>546435</v>
      </c>
      <c r="I127" s="16" t="n">
        <v>49100</v>
      </c>
      <c r="J127" s="17" t="inlineStr">
        <is>
          <t>Cả tiền mặt &amp; cổ phiếu</t>
        </is>
      </c>
      <c r="K127" s="11" t="inlineStr">
        <is>
          <t>Hàng năm</t>
        </is>
      </c>
      <c r="L127" s="12" t="inlineStr">
        <is>
          <t>Có</t>
        </is>
      </c>
      <c r="M127" s="14" t="inlineStr">
        <is>
          <t>2025, 2024, 2023, 2022, 2021, 2020, 2019</t>
        </is>
      </c>
      <c r="N127" s="14" t="inlineStr">
        <is>
          <t>2026, 2023, 2022, 2021, 2020, 2019</t>
        </is>
      </c>
      <c r="O127" s="14" t="inlineStr">
        <is>
          <t>Tiền mặt hàng năm (2025, 2024, 2023, 2022, 2021, 2020, 2019); Cổ tức CP (2026, 2023, 2022, 2021, 2020, 2019)</t>
        </is>
      </c>
    </row>
    <row r="128" ht="22" customHeight="1">
      <c r="A128" s="4" t="n">
        <v>125</v>
      </c>
      <c r="B128" s="20" t="inlineStr">
        <is>
          <t>ACV</t>
        </is>
      </c>
      <c r="C128" s="4" t="inlineStr">
        <is>
          <t>UPCOM</t>
        </is>
      </c>
      <c r="D128" s="6" t="inlineStr">
        <is>
          <t>Tổng Công ty Cảng Hàng không Việt Nam - CTCP</t>
        </is>
      </c>
      <c r="E128" s="6" t="inlineStr">
        <is>
          <t>Hàng &amp; Dịch vụ Công nghiệp</t>
        </is>
      </c>
      <c r="F128" s="6" t="inlineStr">
        <is>
          <t>Công nghiệp</t>
        </is>
      </c>
      <c r="G128" s="4" t="inlineStr">
        <is>
          <t>Thành viên</t>
        </is>
      </c>
      <c r="H128" s="8" t="n">
        <v>396140</v>
      </c>
      <c r="I128" s="9" t="n">
        <v>39800</v>
      </c>
      <c r="J128" s="24" t="inlineStr">
        <is>
          <t>Cổ tức cổ phiếu</t>
        </is>
      </c>
      <c r="K128" s="4" t="inlineStr">
        <is>
          <t>Có</t>
        </is>
      </c>
      <c r="L128" s="12" t="inlineStr">
        <is>
          <t>Có</t>
        </is>
      </c>
      <c r="M128" s="6" t="inlineStr">
        <is>
          <t>2019, 2017</t>
        </is>
      </c>
      <c r="N128" s="6" t="inlineStr">
        <is>
          <t>2025</t>
        </is>
      </c>
      <c r="O128" s="6" t="inlineStr">
        <is>
          <t>Tiền mặt (2019, 2017); Cổ tức CP (2025)</t>
        </is>
      </c>
    </row>
    <row r="129" ht="22" customHeight="1">
      <c r="A129" s="13" t="n">
        <v>126</v>
      </c>
      <c r="B129" s="20" t="inlineStr">
        <is>
          <t>APH</t>
        </is>
      </c>
      <c r="C129" s="13" t="inlineStr">
        <is>
          <t>HOSE</t>
        </is>
      </c>
      <c r="D129" s="14" t="inlineStr">
        <is>
          <t>CTCP Tập đoàn An Phát Holdings</t>
        </is>
      </c>
      <c r="E129" s="14" t="inlineStr">
        <is>
          <t>Hàng &amp; Dịch vụ Công nghiệp</t>
        </is>
      </c>
      <c r="F129" s="14" t="inlineStr">
        <is>
          <t>Công nghiệp</t>
        </is>
      </c>
      <c r="G129" s="13" t="inlineStr">
        <is>
          <t>Thành viên</t>
        </is>
      </c>
      <c r="H129" s="15" t="n">
        <v>395860</v>
      </c>
      <c r="I129" s="16" t="n">
        <v>6910</v>
      </c>
      <c r="J129" s="21" t="inlineStr">
        <is>
          <t>Cổ tức cổ phiếu</t>
        </is>
      </c>
      <c r="K129" s="13" t="inlineStr">
        <is>
          <t>Không</t>
        </is>
      </c>
      <c r="L129" s="12" t="inlineStr">
        <is>
          <t>Có</t>
        </is>
      </c>
      <c r="M129" s="14" t="inlineStr">
        <is>
          <t>-</t>
        </is>
      </c>
      <c r="N129" s="14" t="inlineStr">
        <is>
          <t>2022</t>
        </is>
      </c>
      <c r="O129" s="14" t="inlineStr">
        <is>
          <t>Cổ tức CP (2022)</t>
        </is>
      </c>
    </row>
    <row r="130" ht="22" customHeight="1">
      <c r="A130" s="4" t="n">
        <v>127</v>
      </c>
      <c r="B130" s="20" t="inlineStr">
        <is>
          <t>SBG</t>
        </is>
      </c>
      <c r="C130" s="4" t="inlineStr">
        <is>
          <t>HOSE</t>
        </is>
      </c>
      <c r="D130" s="6" t="inlineStr">
        <is>
          <t>CTCP Tập đoàn Cơ khí Công nghệ cao Siba</t>
        </is>
      </c>
      <c r="E130" s="6" t="inlineStr">
        <is>
          <t>Hàng &amp; Dịch vụ Công nghiệp</t>
        </is>
      </c>
      <c r="F130" s="6" t="inlineStr">
        <is>
          <t>Công nghiệp</t>
        </is>
      </c>
      <c r="G130" s="4" t="inlineStr">
        <is>
          <t>Thành viên</t>
        </is>
      </c>
      <c r="H130" s="8" t="n">
        <v>350500</v>
      </c>
      <c r="I130" s="9" t="n">
        <v>13750</v>
      </c>
      <c r="J130" s="24" t="inlineStr">
        <is>
          <t>Cổ tức cổ phiếu</t>
        </is>
      </c>
      <c r="K130" s="4" t="inlineStr">
        <is>
          <t>Không</t>
        </is>
      </c>
      <c r="L130" s="12" t="inlineStr">
        <is>
          <t>Có</t>
        </is>
      </c>
      <c r="M130" s="6" t="inlineStr">
        <is>
          <t>-</t>
        </is>
      </c>
      <c r="N130" s="6" t="inlineStr">
        <is>
          <t>2026, 2024</t>
        </is>
      </c>
      <c r="O130" s="6" t="inlineStr">
        <is>
          <t>Cổ tức CP (2026, 2024)</t>
        </is>
      </c>
    </row>
    <row r="131" ht="22" customHeight="1">
      <c r="A131" s="13" t="n">
        <v>128</v>
      </c>
      <c r="B131" s="20" t="inlineStr">
        <is>
          <t>CAR</t>
        </is>
      </c>
      <c r="C131" s="13" t="inlineStr">
        <is>
          <t>HNX</t>
        </is>
      </c>
      <c r="D131" s="14" t="inlineStr">
        <is>
          <t>CTCP Tập đoàn Giáo dục Trí Việt</t>
        </is>
      </c>
      <c r="E131" s="14" t="inlineStr">
        <is>
          <t>Hàng &amp; Dịch vụ Công nghiệp</t>
        </is>
      </c>
      <c r="F131" s="14" t="inlineStr">
        <is>
          <t>Công nghiệp</t>
        </is>
      </c>
      <c r="G131" s="13" t="inlineStr">
        <is>
          <t>Thành viên</t>
        </is>
      </c>
      <c r="H131" s="15" t="n">
        <v>311714.2857142857</v>
      </c>
      <c r="I131" s="16" t="n">
        <v>18000</v>
      </c>
      <c r="J131" s="21" t="inlineStr">
        <is>
          <t>Cổ tức cổ phiếu</t>
        </is>
      </c>
      <c r="K131" s="13" t="inlineStr">
        <is>
          <t>Có</t>
        </is>
      </c>
      <c r="L131" s="12" t="inlineStr">
        <is>
          <t>Có</t>
        </is>
      </c>
      <c r="M131" s="14" t="inlineStr">
        <is>
          <t>2025</t>
        </is>
      </c>
      <c r="N131" s="14" t="inlineStr">
        <is>
          <t>2025, 2023</t>
        </is>
      </c>
      <c r="O131" s="14" t="inlineStr">
        <is>
          <t>Tiền mặt (2025); Cổ tức CP (2025, 2023)</t>
        </is>
      </c>
    </row>
    <row r="132" ht="22" customHeight="1">
      <c r="A132" s="4" t="n">
        <v>129</v>
      </c>
      <c r="B132" s="22" t="inlineStr">
        <is>
          <t>VEA</t>
        </is>
      </c>
      <c r="C132" s="4" t="inlineStr">
        <is>
          <t>UPCOM</t>
        </is>
      </c>
      <c r="D132" s="6" t="inlineStr">
        <is>
          <t>Tổng Công ty Máy động lực và Máy nông nghiệp Việt Nam – CTCP</t>
        </is>
      </c>
      <c r="E132" s="6" t="inlineStr">
        <is>
          <t>Hàng &amp; Dịch vụ Công nghiệp</t>
        </is>
      </c>
      <c r="F132" s="6" t="inlineStr">
        <is>
          <t>Công nghiệp</t>
        </is>
      </c>
      <c r="G132" s="4" t="inlineStr">
        <is>
          <t>Thành viên</t>
        </is>
      </c>
      <c r="H132" s="8" t="n">
        <v>257380</v>
      </c>
      <c r="I132" s="9" t="n">
        <v>37000</v>
      </c>
      <c r="J132" s="27" t="inlineStr">
        <is>
          <t>Tiền mặt hàng năm</t>
        </is>
      </c>
      <c r="K132" s="11" t="inlineStr">
        <is>
          <t>Hàng năm</t>
        </is>
      </c>
      <c r="L132" s="4" t="inlineStr">
        <is>
          <t>Không</t>
        </is>
      </c>
      <c r="M132" s="6" t="inlineStr">
        <is>
          <t>2025, 2024, 2023, 2022, 2021, 2019, 2018</t>
        </is>
      </c>
      <c r="N132" s="6" t="inlineStr">
        <is>
          <t>-</t>
        </is>
      </c>
      <c r="O132" s="6" t="inlineStr">
        <is>
          <t>Tiền mặt hàng năm (2025, 2024, 2023, 2022, 2021, 2019, 2018)</t>
        </is>
      </c>
    </row>
    <row r="133" ht="22" customHeight="1">
      <c r="A133" s="13" t="n">
        <v>130</v>
      </c>
      <c r="B133" s="20" t="inlineStr">
        <is>
          <t>TDP</t>
        </is>
      </c>
      <c r="C133" s="13" t="inlineStr">
        <is>
          <t>HOSE</t>
        </is>
      </c>
      <c r="D133" s="14" t="inlineStr">
        <is>
          <t>CTCP Thuận Đức</t>
        </is>
      </c>
      <c r="E133" s="14" t="inlineStr">
        <is>
          <t>Hàng &amp; Dịch vụ Công nghiệp</t>
        </is>
      </c>
      <c r="F133" s="14" t="inlineStr">
        <is>
          <t>Công nghiệp</t>
        </is>
      </c>
      <c r="G133" s="13" t="inlineStr">
        <is>
          <t>Thành viên</t>
        </is>
      </c>
      <c r="H133" s="15" t="n">
        <v>252270</v>
      </c>
      <c r="I133" s="16" t="n">
        <v>29800</v>
      </c>
      <c r="J133" s="21" t="inlineStr">
        <is>
          <t>Cổ tức cổ phiếu</t>
        </is>
      </c>
      <c r="K133" s="13" t="inlineStr">
        <is>
          <t>Không</t>
        </is>
      </c>
      <c r="L133" s="12" t="inlineStr">
        <is>
          <t>Có</t>
        </is>
      </c>
      <c r="M133" s="14" t="inlineStr">
        <is>
          <t>-</t>
        </is>
      </c>
      <c r="N133" s="14" t="inlineStr">
        <is>
          <t>2026, 2024, 2023, 2022, 2021, 2020, 2019</t>
        </is>
      </c>
      <c r="O133" s="14" t="inlineStr">
        <is>
          <t>Cổ tức CP (2026, 2024, 2023, 2022, 2021, 2020, 2019)</t>
        </is>
      </c>
    </row>
    <row r="134" ht="22" customHeight="1">
      <c r="A134" s="4" t="n">
        <v>131</v>
      </c>
      <c r="B134" s="5" t="inlineStr">
        <is>
          <t>DXP</t>
        </is>
      </c>
      <c r="C134" s="4" t="inlineStr">
        <is>
          <t>HNX</t>
        </is>
      </c>
      <c r="D134" s="6" t="inlineStr">
        <is>
          <t>CTCP Cảng Đoạn Xá</t>
        </is>
      </c>
      <c r="E134" s="6" t="inlineStr">
        <is>
          <t>Hàng &amp; Dịch vụ Công nghiệp</t>
        </is>
      </c>
      <c r="F134" s="6" t="inlineStr">
        <is>
          <t>Công nghiệp</t>
        </is>
      </c>
      <c r="G134" s="4" t="inlineStr">
        <is>
          <t>Thành viên</t>
        </is>
      </c>
      <c r="H134" s="8" t="n">
        <v>221985</v>
      </c>
      <c r="I134" s="9" t="n">
        <v>13300</v>
      </c>
      <c r="J134" s="10" t="inlineStr">
        <is>
          <t>Cả tiền mặt &amp; cổ phiếu</t>
        </is>
      </c>
      <c r="K134" s="11" t="inlineStr">
        <is>
          <t>Hàng năm</t>
        </is>
      </c>
      <c r="L134" s="12" t="inlineStr">
        <is>
          <t>Có</t>
        </is>
      </c>
      <c r="M134" s="6" t="inlineStr">
        <is>
          <t>2025, 2024, 2023, 2015, 2014, 2013, 2010, 2009</t>
        </is>
      </c>
      <c r="N134" s="6" t="inlineStr">
        <is>
          <t>2023, 2017, 2016</t>
        </is>
      </c>
      <c r="O134" s="6" t="inlineStr">
        <is>
          <t>Tiền mặt hàng năm (2025, 2024, 2023, 2015, 2014, 2013, 2010, 2009); Cổ tức CP (2023, 2017, 2016)</t>
        </is>
      </c>
    </row>
    <row r="135" ht="22" customHeight="1">
      <c r="A135" s="13" t="n">
        <v>132</v>
      </c>
      <c r="B135" s="22" t="inlineStr">
        <is>
          <t>PHP</t>
        </is>
      </c>
      <c r="C135" s="13" t="inlineStr">
        <is>
          <t>UPCOM</t>
        </is>
      </c>
      <c r="D135" s="14" t="inlineStr">
        <is>
          <t>CTCP Cảng Hải Phòng</t>
        </is>
      </c>
      <c r="E135" s="14" t="inlineStr">
        <is>
          <t>Hàng &amp; Dịch vụ Công nghiệp</t>
        </is>
      </c>
      <c r="F135" s="14" t="inlineStr">
        <is>
          <t>Công nghiệp</t>
        </is>
      </c>
      <c r="G135" s="13" t="inlineStr">
        <is>
          <t>Thành viên</t>
        </is>
      </c>
      <c r="H135" s="15" t="n">
        <v>221885</v>
      </c>
      <c r="I135" s="16" t="n">
        <v>43800</v>
      </c>
      <c r="J135" s="23" t="inlineStr">
        <is>
          <t>Tiền mặt hàng năm</t>
        </is>
      </c>
      <c r="K135" s="11" t="inlineStr">
        <is>
          <t>Hàng năm</t>
        </is>
      </c>
      <c r="L135" s="13" t="inlineStr">
        <is>
          <t>Không</t>
        </is>
      </c>
      <c r="M135" s="14" t="inlineStr">
        <is>
          <t>2026, 2025, 2024, 2023, 2022, 2021, 2020, 2019</t>
        </is>
      </c>
      <c r="N135" s="14" t="inlineStr">
        <is>
          <t>-</t>
        </is>
      </c>
      <c r="O135" s="14" t="inlineStr">
        <is>
          <t>Tiền mặt hàng năm (2026, 2025, 2024, 2023, 2022, 2021, 2020, 2019)</t>
        </is>
      </c>
    </row>
    <row r="136" ht="22" customHeight="1">
      <c r="A136" s="4" t="n">
        <v>133</v>
      </c>
      <c r="B136" s="20" t="inlineStr">
        <is>
          <t>DL1</t>
        </is>
      </c>
      <c r="C136" s="4" t="inlineStr">
        <is>
          <t>HNX</t>
        </is>
      </c>
      <c r="D136" s="6" t="inlineStr">
        <is>
          <t>CTCP Tập đoàn Alpha Seven</t>
        </is>
      </c>
      <c r="E136" s="6" t="inlineStr">
        <is>
          <t>Hàng &amp; Dịch vụ Công nghiệp</t>
        </is>
      </c>
      <c r="F136" s="6" t="inlineStr">
        <is>
          <t>Công nghiệp</t>
        </is>
      </c>
      <c r="G136" s="4" t="inlineStr">
        <is>
          <t>Thành viên</t>
        </is>
      </c>
      <c r="H136" s="8" t="n">
        <v>131520</v>
      </c>
      <c r="I136" s="9" t="n">
        <v>4000</v>
      </c>
      <c r="J136" s="24" t="inlineStr">
        <is>
          <t>Cổ tức cổ phiếu</t>
        </is>
      </c>
      <c r="K136" s="4" t="inlineStr">
        <is>
          <t>Không</t>
        </is>
      </c>
      <c r="L136" s="12" t="inlineStr">
        <is>
          <t>Có</t>
        </is>
      </c>
      <c r="M136" s="6" t="inlineStr">
        <is>
          <t>-</t>
        </is>
      </c>
      <c r="N136" s="6" t="inlineStr">
        <is>
          <t>2025, 2022, 2016, 2014, 2013, 2012, 2011</t>
        </is>
      </c>
      <c r="O136" s="6" t="inlineStr">
        <is>
          <t>Cổ tức CP (2025, 2022, 2016, 2014, 2013, 2012, 2011)</t>
        </is>
      </c>
    </row>
    <row r="137" ht="22" customHeight="1">
      <c r="A137" s="13" t="n">
        <v>134</v>
      </c>
      <c r="B137" s="5" t="inlineStr">
        <is>
          <t>PAC</t>
        </is>
      </c>
      <c r="C137" s="13" t="inlineStr">
        <is>
          <t>HOSE</t>
        </is>
      </c>
      <c r="D137" s="14" t="inlineStr">
        <is>
          <t>CTCP Pin Ắc quy Miền Nam</t>
        </is>
      </c>
      <c r="E137" s="14" t="inlineStr">
        <is>
          <t>Hàng &amp; Dịch vụ Công nghiệp</t>
        </is>
      </c>
      <c r="F137" s="14" t="inlineStr">
        <is>
          <t>Công nghiệp</t>
        </is>
      </c>
      <c r="G137" s="13" t="inlineStr">
        <is>
          <t>Thành viên</t>
        </is>
      </c>
      <c r="H137" s="15" t="n">
        <v>130515</v>
      </c>
      <c r="I137" s="16" t="n">
        <v>14500</v>
      </c>
      <c r="J137" s="17" t="inlineStr">
        <is>
          <t>Cả tiền mặt &amp; cổ phiếu</t>
        </is>
      </c>
      <c r="K137" s="11" t="inlineStr">
        <is>
          <t>Hàng năm</t>
        </is>
      </c>
      <c r="L137" s="12" t="inlineStr">
        <is>
          <t>Có</t>
        </is>
      </c>
      <c r="M137" s="14" t="inlineStr">
        <is>
          <t>2025, 2024, 2023, 2022, 2021, 2020, 2019, 2018</t>
        </is>
      </c>
      <c r="N137" s="14" t="inlineStr">
        <is>
          <t>2026, 2025, 2016, 2010</t>
        </is>
      </c>
      <c r="O137" s="14" t="inlineStr">
        <is>
          <t>Tiền mặt hàng năm (2025, 2024, 2023, 2022, 2021, 2020, 2019, 2018); Cổ tức CP (2026, 2025, 2016, 2010)</t>
        </is>
      </c>
    </row>
    <row r="138" ht="22" customHeight="1">
      <c r="A138" s="4" t="n">
        <v>135</v>
      </c>
      <c r="B138" s="22" t="inlineStr">
        <is>
          <t>VTO</t>
        </is>
      </c>
      <c r="C138" s="4" t="inlineStr">
        <is>
          <t>HOSE</t>
        </is>
      </c>
      <c r="D138" s="6" t="inlineStr">
        <is>
          <t>CTCP Vận tải Xăng dầu Vitaco</t>
        </is>
      </c>
      <c r="E138" s="6" t="inlineStr">
        <is>
          <t>Hàng &amp; Dịch vụ Công nghiệp</t>
        </is>
      </c>
      <c r="F138" s="6" t="inlineStr">
        <is>
          <t>Công nghiệp</t>
        </is>
      </c>
      <c r="G138" s="4" t="inlineStr">
        <is>
          <t>Thành viên</t>
        </is>
      </c>
      <c r="H138" s="8" t="n">
        <v>110730</v>
      </c>
      <c r="I138" s="9" t="n">
        <v>10550</v>
      </c>
      <c r="J138" s="27" t="inlineStr">
        <is>
          <t>Tiền mặt hàng năm</t>
        </is>
      </c>
      <c r="K138" s="11" t="inlineStr">
        <is>
          <t>Hàng năm</t>
        </is>
      </c>
      <c r="L138" s="4" t="inlineStr">
        <is>
          <t>Không</t>
        </is>
      </c>
      <c r="M138" s="6" t="inlineStr">
        <is>
          <t>2026, 2025, 2024, 2023, 2022, 2021, 2020, 2019</t>
        </is>
      </c>
      <c r="N138" s="6" t="inlineStr">
        <is>
          <t>-</t>
        </is>
      </c>
      <c r="O138" s="6" t="inlineStr">
        <is>
          <t>Tiền mặt hàng năm (2026, 2025, 2024, 2023, 2022, 2021, 2020, 2019)</t>
        </is>
      </c>
    </row>
    <row r="139" ht="22" customHeight="1">
      <c r="A139" s="13" t="n">
        <v>136</v>
      </c>
      <c r="B139" s="5" t="inlineStr">
        <is>
          <t>TV2</t>
        </is>
      </c>
      <c r="C139" s="13" t="inlineStr">
        <is>
          <t>HOSE</t>
        </is>
      </c>
      <c r="D139" s="14" t="inlineStr">
        <is>
          <t>CTCP Tư vấn Xây dựng Điện 2</t>
        </is>
      </c>
      <c r="E139" s="14" t="inlineStr">
        <is>
          <t>Hàng &amp; Dịch vụ Công nghiệp</t>
        </is>
      </c>
      <c r="F139" s="14" t="inlineStr">
        <is>
          <t>Công nghiệp</t>
        </is>
      </c>
      <c r="G139" s="13" t="inlineStr">
        <is>
          <t>Thành viên</t>
        </is>
      </c>
      <c r="H139" s="15" t="n">
        <v>93820</v>
      </c>
      <c r="I139" s="16" t="n">
        <v>25750</v>
      </c>
      <c r="J139" s="17" t="inlineStr">
        <is>
          <t>Cả tiền mặt &amp; cổ phiếu</t>
        </is>
      </c>
      <c r="K139" s="11" t="inlineStr">
        <is>
          <t>Hàng năm</t>
        </is>
      </c>
      <c r="L139" s="12" t="inlineStr">
        <is>
          <t>Có</t>
        </is>
      </c>
      <c r="M139" s="14" t="inlineStr">
        <is>
          <t>2025, 2024, 2023, 2022, 2021, 2018, 2017, 2016</t>
        </is>
      </c>
      <c r="N139" s="14" t="inlineStr">
        <is>
          <t>2022, 2021, 2020, 2019, 2018, 2017, 2016</t>
        </is>
      </c>
      <c r="O139" s="14" t="inlineStr">
        <is>
          <t>Tiền mặt hàng năm (2025, 2024, 2023, 2022, 2021, 2018, 2017, 2016); Cổ tức CP (2022, 2021, 2020, 2019, 2018, 2017, 2016)</t>
        </is>
      </c>
    </row>
    <row r="140" ht="22" customHeight="1">
      <c r="A140" s="4" t="n">
        <v>137</v>
      </c>
      <c r="B140" s="5" t="inlineStr">
        <is>
          <t>NAG</t>
        </is>
      </c>
      <c r="C140" s="4" t="inlineStr">
        <is>
          <t>HNX</t>
        </is>
      </c>
      <c r="D140" s="6" t="inlineStr">
        <is>
          <t>CTCP Tập đoàn Nagakawa</t>
        </is>
      </c>
      <c r="E140" s="6" t="inlineStr">
        <is>
          <t>Hàng &amp; Dịch vụ Công nghiệp</t>
        </is>
      </c>
      <c r="F140" s="6" t="inlineStr">
        <is>
          <t>Công nghiệp</t>
        </is>
      </c>
      <c r="G140" s="4" t="inlineStr">
        <is>
          <t>Thành viên</t>
        </is>
      </c>
      <c r="H140" s="8" t="n">
        <v>78520</v>
      </c>
      <c r="I140" s="9" t="n">
        <v>6400</v>
      </c>
      <c r="J140" s="10" t="inlineStr">
        <is>
          <t>Cả tiền mặt &amp; cổ phiếu</t>
        </is>
      </c>
      <c r="K140" s="11" t="inlineStr">
        <is>
          <t>Hàng năm</t>
        </is>
      </c>
      <c r="L140" s="12" t="inlineStr">
        <is>
          <t>Có</t>
        </is>
      </c>
      <c r="M140" s="6" t="inlineStr">
        <is>
          <t>2023, 2020, 2018, 2017, 2016</t>
        </is>
      </c>
      <c r="N140" s="6" t="inlineStr">
        <is>
          <t>2026, 2025, 2024, 2022, 2021, 2019</t>
        </is>
      </c>
      <c r="O140" s="6" t="inlineStr">
        <is>
          <t>Tiền mặt hàng năm (2023, 2020, 2018, 2017, 2016); Cổ tức CP (2026, 2025, 2024, 2022, 2021, 2019)</t>
        </is>
      </c>
    </row>
    <row r="141" ht="22" customHeight="1">
      <c r="A141" s="13" t="n">
        <v>138</v>
      </c>
      <c r="B141" s="20" t="inlineStr">
        <is>
          <t>VHG</t>
        </is>
      </c>
      <c r="C141" s="13" t="inlineStr">
        <is>
          <t>UPCOM</t>
        </is>
      </c>
      <c r="D141" s="14" t="inlineStr">
        <is>
          <t>CTCP Đầu tư Phát triển Việt Trung Nam</t>
        </is>
      </c>
      <c r="E141" s="14" t="inlineStr">
        <is>
          <t>Hàng &amp; Dịch vụ Công nghiệp</t>
        </is>
      </c>
      <c r="F141" s="14" t="inlineStr">
        <is>
          <t>Công nghiệp</t>
        </is>
      </c>
      <c r="G141" s="13" t="inlineStr">
        <is>
          <t>Thành viên</t>
        </is>
      </c>
      <c r="H141" s="15" t="n">
        <v>75655</v>
      </c>
      <c r="I141" s="16" t="n">
        <v>1600</v>
      </c>
      <c r="J141" s="21" t="inlineStr">
        <is>
          <t>Cổ tức cổ phiếu</t>
        </is>
      </c>
      <c r="K141" s="13" t="inlineStr">
        <is>
          <t>Có</t>
        </is>
      </c>
      <c r="L141" s="12" t="inlineStr">
        <is>
          <t>Có</t>
        </is>
      </c>
      <c r="M141" s="14" t="inlineStr">
        <is>
          <t>2013</t>
        </is>
      </c>
      <c r="N141" s="14" t="inlineStr">
        <is>
          <t>2013</t>
        </is>
      </c>
      <c r="O141" s="14" t="inlineStr">
        <is>
          <t>Tiền mặt (2013); Cổ tức CP (2013)</t>
        </is>
      </c>
    </row>
    <row r="142" ht="22" customHeight="1">
      <c r="A142" s="4" t="n">
        <v>139</v>
      </c>
      <c r="B142" s="20" t="inlineStr">
        <is>
          <t>IPA</t>
        </is>
      </c>
      <c r="C142" s="4" t="inlineStr">
        <is>
          <t>HNX</t>
        </is>
      </c>
      <c r="D142" s="6" t="inlineStr">
        <is>
          <t>CTCP Tập đoàn Đầu tư I.P.A</t>
        </is>
      </c>
      <c r="E142" s="6" t="inlineStr">
        <is>
          <t>Hàng &amp; Dịch vụ Công nghiệp</t>
        </is>
      </c>
      <c r="F142" s="6" t="inlineStr">
        <is>
          <t>Công nghiệp</t>
        </is>
      </c>
      <c r="G142" s="4" t="inlineStr">
        <is>
          <t>Thành viên</t>
        </is>
      </c>
      <c r="H142" s="8" t="n">
        <v>51550</v>
      </c>
      <c r="I142" s="9" t="n">
        <v>12900</v>
      </c>
      <c r="J142" s="24" t="inlineStr">
        <is>
          <t>Cổ tức cổ phiếu</t>
        </is>
      </c>
      <c r="K142" s="4" t="inlineStr">
        <is>
          <t>Có</t>
        </is>
      </c>
      <c r="L142" s="12" t="inlineStr">
        <is>
          <t>Có</t>
        </is>
      </c>
      <c r="M142" s="6" t="inlineStr">
        <is>
          <t>2018</t>
        </is>
      </c>
      <c r="N142" s="6" t="inlineStr">
        <is>
          <t>2026, 2022, 2021, 2017</t>
        </is>
      </c>
      <c r="O142" s="6" t="inlineStr">
        <is>
          <t>Tiền mặt (2018); Cổ tức CP (2026, 2022, 2021, 2017)</t>
        </is>
      </c>
    </row>
    <row r="143" ht="22" customHeight="1">
      <c r="A143" s="13" t="n">
        <v>140</v>
      </c>
      <c r="B143" s="5" t="inlineStr">
        <is>
          <t>PNJ</t>
        </is>
      </c>
      <c r="C143" s="13" t="inlineStr">
        <is>
          <t>HOSE</t>
        </is>
      </c>
      <c r="D143" s="14" t="inlineStr">
        <is>
          <t>CTCP Vàng bạc Đá quý Phú Nhuận</t>
        </is>
      </c>
      <c r="E143" s="14" t="inlineStr">
        <is>
          <t>Hàng cá nhân &amp; Gia dụng</t>
        </is>
      </c>
      <c r="F143" s="14" t="inlineStr">
        <is>
          <t>Hàng Tiêu dùng</t>
        </is>
      </c>
      <c r="G143" s="7" t="inlineStr">
        <is>
          <t>⭐ Đầu ngành</t>
        </is>
      </c>
      <c r="H143" s="15" t="n">
        <v>5421750</v>
      </c>
      <c r="I143" s="16" t="n">
        <v>36750</v>
      </c>
      <c r="J143" s="17" t="inlineStr">
        <is>
          <t>Cả tiền mặt &amp; cổ phiếu</t>
        </is>
      </c>
      <c r="K143" s="11" t="inlineStr">
        <is>
          <t>Hàng năm</t>
        </is>
      </c>
      <c r="L143" s="12" t="inlineStr">
        <is>
          <t>Có</t>
        </is>
      </c>
      <c r="M143" s="14" t="inlineStr">
        <is>
          <t>2026, 2025, 2024, 2023, 2022, 2021, 2020, 2019</t>
        </is>
      </c>
      <c r="N143" s="14" t="inlineStr">
        <is>
          <t>2026, 2022, 2019, 2018, 2015, 2012</t>
        </is>
      </c>
      <c r="O143" s="14" t="inlineStr">
        <is>
          <t>Tiền mặt hàng năm (2026, 2025, 2024, 2023, 2022, 2021, 2020, 2019); Cổ tức CP (2026, 2022, 2019, 2018, 2015, 2012)</t>
        </is>
      </c>
    </row>
    <row r="144" ht="22" customHeight="1">
      <c r="A144" s="4" t="n">
        <v>141</v>
      </c>
      <c r="B144" s="5" t="inlineStr">
        <is>
          <t>TCM</t>
        </is>
      </c>
      <c r="C144" s="4" t="inlineStr">
        <is>
          <t>HOSE</t>
        </is>
      </c>
      <c r="D144" s="6" t="inlineStr">
        <is>
          <t>CTCP Dệt may - Đầu tư - Thương mại Thành Công</t>
        </is>
      </c>
      <c r="E144" s="6" t="inlineStr">
        <is>
          <t>Hàng cá nhân &amp; Gia dụng</t>
        </is>
      </c>
      <c r="F144" s="6" t="inlineStr">
        <is>
          <t>Hàng Tiêu dùng</t>
        </is>
      </c>
      <c r="G144" s="7" t="inlineStr">
        <is>
          <t>⭐ Đầu ngành</t>
        </is>
      </c>
      <c r="H144" s="8" t="n">
        <v>937890</v>
      </c>
      <c r="I144" s="9" t="n">
        <v>16200</v>
      </c>
      <c r="J144" s="10" t="inlineStr">
        <is>
          <t>Cả tiền mặt &amp; cổ phiếu</t>
        </is>
      </c>
      <c r="K144" s="11" t="inlineStr">
        <is>
          <t>Hàng năm</t>
        </is>
      </c>
      <c r="L144" s="12" t="inlineStr">
        <is>
          <t>Có</t>
        </is>
      </c>
      <c r="M144" s="6" t="inlineStr">
        <is>
          <t>2026, 2025, 2021, 2020, 2019, 2018, 2017, 2016</t>
        </is>
      </c>
      <c r="N144" s="6" t="inlineStr">
        <is>
          <t>2026, 2025, 2024, 2023, 2022, 2021, 2020, 2019</t>
        </is>
      </c>
      <c r="O144" s="6" t="inlineStr">
        <is>
          <t>Tiền mặt hàng năm (2026, 2025, 2021, 2020, 2019, 2018, 2017, 2016); Cổ tức CP (2026, 2025, 2024, 2023, 2022, 2021, 2020, 2019)</t>
        </is>
      </c>
    </row>
    <row r="145" ht="22" customHeight="1">
      <c r="A145" s="13" t="n">
        <v>142</v>
      </c>
      <c r="B145" s="5" t="inlineStr">
        <is>
          <t>TNG</t>
        </is>
      </c>
      <c r="C145" s="13" t="inlineStr">
        <is>
          <t>HNX</t>
        </is>
      </c>
      <c r="D145" s="14" t="inlineStr">
        <is>
          <t>CTCP Đầu tư và Thương mại TNG</t>
        </is>
      </c>
      <c r="E145" s="14" t="inlineStr">
        <is>
          <t>Hàng cá nhân &amp; Gia dụng</t>
        </is>
      </c>
      <c r="F145" s="14" t="inlineStr">
        <is>
          <t>Hàng Tiêu dùng</t>
        </is>
      </c>
      <c r="G145" s="7" t="inlineStr">
        <is>
          <t>⭐ Đầu ngành</t>
        </is>
      </c>
      <c r="H145" s="15" t="n">
        <v>328620</v>
      </c>
      <c r="I145" s="16" t="n">
        <v>16500</v>
      </c>
      <c r="J145" s="17" t="inlineStr">
        <is>
          <t>Cả tiền mặt &amp; cổ phiếu</t>
        </is>
      </c>
      <c r="K145" s="11" t="inlineStr">
        <is>
          <t>Hàng năm</t>
        </is>
      </c>
      <c r="L145" s="12" t="inlineStr">
        <is>
          <t>Có</t>
        </is>
      </c>
      <c r="M145" s="14" t="inlineStr">
        <is>
          <t>2026, 2025, 2024, 2023, 2022, 2021, 2020, 2015</t>
        </is>
      </c>
      <c r="N145" s="14" t="inlineStr">
        <is>
          <t>2024, 2023, 2022, 2021, 2020, 2019, 2018, 2017</t>
        </is>
      </c>
      <c r="O145" s="14" t="inlineStr">
        <is>
          <t>Tiền mặt hàng năm (2026, 2025, 2024, 2023, 2022, 2021, 2020, 2015); Cổ tức CP (2024, 2023, 2022, 2021, 2020, 2019, 2018, 2017)</t>
        </is>
      </c>
    </row>
    <row r="146" ht="22" customHeight="1">
      <c r="A146" s="4" t="n">
        <v>143</v>
      </c>
      <c r="B146" s="22" t="inlineStr">
        <is>
          <t>VGT</t>
        </is>
      </c>
      <c r="C146" s="4" t="inlineStr">
        <is>
          <t>UPCOM</t>
        </is>
      </c>
      <c r="D146" s="6" t="inlineStr">
        <is>
          <t>Tập đoàn Dệt May Việt Nam</t>
        </is>
      </c>
      <c r="E146" s="6" t="inlineStr">
        <is>
          <t>Hàng cá nhân &amp; Gia dụng</t>
        </is>
      </c>
      <c r="F146" s="6" t="inlineStr">
        <is>
          <t>Hàng Tiêu dùng</t>
        </is>
      </c>
      <c r="G146" s="7" t="inlineStr">
        <is>
          <t>⭐ Đầu ngành</t>
        </is>
      </c>
      <c r="H146" s="8" t="n">
        <v>277765</v>
      </c>
      <c r="I146" s="9" t="n">
        <v>11000</v>
      </c>
      <c r="J146" s="27" t="inlineStr">
        <is>
          <t>Tiền mặt hàng năm</t>
        </is>
      </c>
      <c r="K146" s="11" t="inlineStr">
        <is>
          <t>Hàng năm</t>
        </is>
      </c>
      <c r="L146" s="4" t="inlineStr">
        <is>
          <t>Không</t>
        </is>
      </c>
      <c r="M146" s="6" t="inlineStr">
        <is>
          <t>2026, 2025, 2024, 2023, 2022, 2020, 2019, 2018</t>
        </is>
      </c>
      <c r="N146" s="6" t="inlineStr">
        <is>
          <t>-</t>
        </is>
      </c>
      <c r="O146" s="6" t="inlineStr">
        <is>
          <t>Tiền mặt hàng năm (2026, 2025, 2024, 2023, 2022, 2020, 2019, 2018)</t>
        </is>
      </c>
    </row>
    <row r="147" ht="22" customHeight="1">
      <c r="A147" s="13" t="n">
        <v>144</v>
      </c>
      <c r="B147" s="5" t="inlineStr">
        <is>
          <t>MSH</t>
        </is>
      </c>
      <c r="C147" s="13" t="inlineStr">
        <is>
          <t>HOSE</t>
        </is>
      </c>
      <c r="D147" s="14" t="inlineStr">
        <is>
          <t>CTCP May Sông Hồng</t>
        </is>
      </c>
      <c r="E147" s="14" t="inlineStr">
        <is>
          <t>Hàng cá nhân &amp; Gia dụng</t>
        </is>
      </c>
      <c r="F147" s="14" t="inlineStr">
        <is>
          <t>Hàng Tiêu dùng</t>
        </is>
      </c>
      <c r="G147" s="7" t="inlineStr">
        <is>
          <t>⭐ Đầu ngành</t>
        </is>
      </c>
      <c r="H147" s="15" t="n">
        <v>89350</v>
      </c>
      <c r="I147" s="16" t="n">
        <v>30150</v>
      </c>
      <c r="J147" s="17" t="inlineStr">
        <is>
          <t>Cả tiền mặt &amp; cổ phiếu</t>
        </is>
      </c>
      <c r="K147" s="11" t="inlineStr">
        <is>
          <t>Hàng năm</t>
        </is>
      </c>
      <c r="L147" s="12" t="inlineStr">
        <is>
          <t>Có</t>
        </is>
      </c>
      <c r="M147" s="14" t="inlineStr">
        <is>
          <t>2026, 2025, 2024, 2023, 2022, 2021, 2019, 2018</t>
        </is>
      </c>
      <c r="N147" s="14" t="inlineStr">
        <is>
          <t>2025, 2022</t>
        </is>
      </c>
      <c r="O147" s="14" t="inlineStr">
        <is>
          <t>Tiền mặt hàng năm (2026, 2025, 2024, 2023, 2022, 2021, 2019, 2018); Cổ tức CP (2025, 2022)</t>
        </is>
      </c>
    </row>
    <row r="148" ht="22" customHeight="1">
      <c r="A148" s="4" t="n">
        <v>145</v>
      </c>
      <c r="B148" s="20" t="inlineStr">
        <is>
          <t>BKG</t>
        </is>
      </c>
      <c r="C148" s="4" t="inlineStr">
        <is>
          <t>HOSE</t>
        </is>
      </c>
      <c r="D148" s="6" t="inlineStr">
        <is>
          <t>CTCP Đầu tư BKG Việt Nam</t>
        </is>
      </c>
      <c r="E148" s="6" t="inlineStr">
        <is>
          <t>Hàng cá nhân &amp; Gia dụng</t>
        </is>
      </c>
      <c r="F148" s="6" t="inlineStr">
        <is>
          <t>Hàng Tiêu dùng</t>
        </is>
      </c>
      <c r="G148" s="4" t="inlineStr">
        <is>
          <t>Thành viên</t>
        </is>
      </c>
      <c r="H148" s="8" t="n">
        <v>246625</v>
      </c>
      <c r="I148" s="9" t="n">
        <v>1780</v>
      </c>
      <c r="J148" s="24" t="inlineStr">
        <is>
          <t>Cổ tức cổ phiếu</t>
        </is>
      </c>
      <c r="K148" s="4" t="inlineStr">
        <is>
          <t>Không</t>
        </is>
      </c>
      <c r="L148" s="12" t="inlineStr">
        <is>
          <t>Có</t>
        </is>
      </c>
      <c r="M148" s="6" t="inlineStr">
        <is>
          <t>-</t>
        </is>
      </c>
      <c r="N148" s="6" t="inlineStr">
        <is>
          <t>2024, 2022</t>
        </is>
      </c>
      <c r="O148" s="6" t="inlineStr">
        <is>
          <t>Cổ tức CP (2024, 2022)</t>
        </is>
      </c>
    </row>
    <row r="149" ht="22" customHeight="1">
      <c r="A149" s="13" t="n">
        <v>146</v>
      </c>
      <c r="B149" s="25" t="inlineStr">
        <is>
          <t>FTM</t>
        </is>
      </c>
      <c r="C149" s="13" t="inlineStr">
        <is>
          <t>UPCOM</t>
        </is>
      </c>
      <c r="D149" s="14" t="inlineStr">
        <is>
          <t>CTCP Đầu tư và Phát triển Đức Quân</t>
        </is>
      </c>
      <c r="E149" s="14" t="inlineStr">
        <is>
          <t>Hàng cá nhân &amp; Gia dụng</t>
        </is>
      </c>
      <c r="F149" s="14" t="inlineStr">
        <is>
          <t>Hàng Tiêu dùng</t>
        </is>
      </c>
      <c r="G149" s="13" t="inlineStr">
        <is>
          <t>Thành viên</t>
        </is>
      </c>
      <c r="H149" s="15" t="n">
        <v>180228.5714285714</v>
      </c>
      <c r="I149" s="16" t="n">
        <v>400</v>
      </c>
      <c r="J149" s="26" t="inlineStr">
        <is>
          <t>Tiền mặt không đều</t>
        </is>
      </c>
      <c r="K149" s="13" t="inlineStr">
        <is>
          <t>Có</t>
        </is>
      </c>
      <c r="L149" s="13" t="inlineStr">
        <is>
          <t>Không</t>
        </is>
      </c>
      <c r="M149" s="14" t="inlineStr">
        <is>
          <t>2017</t>
        </is>
      </c>
      <c r="N149" s="14" t="inlineStr">
        <is>
          <t>-</t>
        </is>
      </c>
      <c r="O149" s="14" t="inlineStr">
        <is>
          <t>Tiền mặt (2017)</t>
        </is>
      </c>
    </row>
    <row r="150" ht="22" customHeight="1">
      <c r="A150" s="4" t="n">
        <v>147</v>
      </c>
      <c r="B150" s="5" t="inlineStr">
        <is>
          <t>TLG</t>
        </is>
      </c>
      <c r="C150" s="4" t="inlineStr">
        <is>
          <t>HOSE</t>
        </is>
      </c>
      <c r="D150" s="6" t="inlineStr">
        <is>
          <t>CTCP Tập đoàn Thiên Long</t>
        </is>
      </c>
      <c r="E150" s="6" t="inlineStr">
        <is>
          <t>Hàng cá nhân &amp; Gia dụng</t>
        </is>
      </c>
      <c r="F150" s="6" t="inlineStr">
        <is>
          <t>Hàng Tiêu dùng</t>
        </is>
      </c>
      <c r="G150" s="4" t="inlineStr">
        <is>
          <t>Thành viên</t>
        </is>
      </c>
      <c r="H150" s="8" t="n">
        <v>158740</v>
      </c>
      <c r="I150" s="9" t="n">
        <v>54300</v>
      </c>
      <c r="J150" s="10" t="inlineStr">
        <is>
          <t>Cả tiền mặt &amp; cổ phiếu</t>
        </is>
      </c>
      <c r="K150" s="11" t="inlineStr">
        <is>
          <t>Hàng năm</t>
        </is>
      </c>
      <c r="L150" s="12" t="inlineStr">
        <is>
          <t>Có</t>
        </is>
      </c>
      <c r="M150" s="6" t="inlineStr">
        <is>
          <t>2026, 2025, 2024, 2023, 2022, 2021, 2020, 2019</t>
        </is>
      </c>
      <c r="N150" s="6" t="inlineStr">
        <is>
          <t>2025, 2024, 2019, 2018, 2017, 2016, 2015, 2014</t>
        </is>
      </c>
      <c r="O150" s="6" t="inlineStr">
        <is>
          <t>Tiền mặt hàng năm (2026, 2025, 2024, 2023, 2022, 2021, 2020, 2019); Cổ tức CP (2025, 2024, 2019, 2018, 2017, 2016, 2015, 2014)</t>
        </is>
      </c>
    </row>
    <row r="151" ht="22" customHeight="1">
      <c r="A151" s="13" t="n">
        <v>148</v>
      </c>
      <c r="B151" s="5" t="inlineStr">
        <is>
          <t>GIL</t>
        </is>
      </c>
      <c r="C151" s="13" t="inlineStr">
        <is>
          <t>HOSE</t>
        </is>
      </c>
      <c r="D151" s="14" t="inlineStr">
        <is>
          <t>CTCP Sản xuất Kinh doanh và Xuất nhập khẩu Bình Thạnh</t>
        </is>
      </c>
      <c r="E151" s="14" t="inlineStr">
        <is>
          <t>Hàng cá nhân &amp; Gia dụng</t>
        </is>
      </c>
      <c r="F151" s="14" t="inlineStr">
        <is>
          <t>Hàng Tiêu dùng</t>
        </is>
      </c>
      <c r="G151" s="13" t="inlineStr">
        <is>
          <t>Thành viên</t>
        </is>
      </c>
      <c r="H151" s="15" t="n">
        <v>157985</v>
      </c>
      <c r="I151" s="16" t="n">
        <v>8370</v>
      </c>
      <c r="J151" s="17" t="inlineStr">
        <is>
          <t>Cả tiền mặt &amp; cổ phiếu</t>
        </is>
      </c>
      <c r="K151" s="11" t="inlineStr">
        <is>
          <t>Hàng năm</t>
        </is>
      </c>
      <c r="L151" s="12" t="inlineStr">
        <is>
          <t>Có</t>
        </is>
      </c>
      <c r="M151" s="14" t="inlineStr">
        <is>
          <t>2022, 2021, 2020, 2018, 2017, 2016, 2015, 2014</t>
        </is>
      </c>
      <c r="N151" s="14" t="inlineStr">
        <is>
          <t>2024, 2022, 2021, 2019, 2018</t>
        </is>
      </c>
      <c r="O151" s="14" t="inlineStr">
        <is>
          <t>Tiền mặt hàng năm (2022, 2021, 2020, 2018, 2017, 2016, 2015, 2014); Cổ tức CP (2024, 2022, 2021, 2019, 2018)</t>
        </is>
      </c>
    </row>
    <row r="152" ht="22" customHeight="1">
      <c r="A152" s="4" t="n">
        <v>149</v>
      </c>
      <c r="B152" s="18" t="inlineStr">
        <is>
          <t>DCS</t>
        </is>
      </c>
      <c r="C152" s="4" t="inlineStr">
        <is>
          <t>UPCOM</t>
        </is>
      </c>
      <c r="D152" s="6" t="inlineStr">
        <is>
          <t>CTCP Tập đoàn EDX</t>
        </is>
      </c>
      <c r="E152" s="6" t="inlineStr">
        <is>
          <t>Hàng cá nhân &amp; Gia dụng</t>
        </is>
      </c>
      <c r="F152" s="6" t="inlineStr">
        <is>
          <t>Hàng Tiêu dùng</t>
        </is>
      </c>
      <c r="G152" s="4" t="inlineStr">
        <is>
          <t>Thành viên</t>
        </is>
      </c>
      <c r="H152" s="8" t="n">
        <v>141242.8571428571</v>
      </c>
      <c r="I152" s="9" t="n">
        <v>600</v>
      </c>
      <c r="J152" s="19" t="inlineStr">
        <is>
          <t>Chưa chia / Khác</t>
        </is>
      </c>
      <c r="K152" s="4" t="inlineStr">
        <is>
          <t>Không</t>
        </is>
      </c>
      <c r="L152" s="4" t="inlineStr">
        <is>
          <t>Không</t>
        </is>
      </c>
      <c r="M152" s="6" t="inlineStr">
        <is>
          <t>-</t>
        </is>
      </c>
      <c r="N152" s="6" t="inlineStr">
        <is>
          <t>-</t>
        </is>
      </c>
      <c r="O152" s="6" t="inlineStr">
        <is>
          <t>Chưa có lịch sử chia cổ tức</t>
        </is>
      </c>
    </row>
    <row r="153" ht="22" customHeight="1">
      <c r="A153" s="13" t="n">
        <v>150</v>
      </c>
      <c r="B153" s="20" t="inlineStr">
        <is>
          <t>CET</t>
        </is>
      </c>
      <c r="C153" s="13" t="inlineStr">
        <is>
          <t>HNX</t>
        </is>
      </c>
      <c r="D153" s="14" t="inlineStr">
        <is>
          <t>CTCP HTC Holding</t>
        </is>
      </c>
      <c r="E153" s="14" t="inlineStr">
        <is>
          <t>Hàng cá nhân &amp; Gia dụng</t>
        </is>
      </c>
      <c r="F153" s="14" t="inlineStr">
        <is>
          <t>Hàng Tiêu dùng</t>
        </is>
      </c>
      <c r="G153" s="13" t="inlineStr">
        <is>
          <t>Thành viên</t>
        </is>
      </c>
      <c r="H153" s="15" t="n">
        <v>103071.4285714286</v>
      </c>
      <c r="I153" s="16" t="n">
        <v>3900</v>
      </c>
      <c r="J153" s="21" t="inlineStr">
        <is>
          <t>Cổ tức cổ phiếu</t>
        </is>
      </c>
      <c r="K153" s="13" t="inlineStr">
        <is>
          <t>Không</t>
        </is>
      </c>
      <c r="L153" s="12" t="inlineStr">
        <is>
          <t>Có</t>
        </is>
      </c>
      <c r="M153" s="14" t="inlineStr">
        <is>
          <t>-</t>
        </is>
      </c>
      <c r="N153" s="14" t="inlineStr">
        <is>
          <t>2017</t>
        </is>
      </c>
      <c r="O153" s="14" t="inlineStr">
        <is>
          <t>Cổ tức CP (2017)</t>
        </is>
      </c>
    </row>
    <row r="154" ht="22" customHeight="1">
      <c r="A154" s="4" t="n">
        <v>151</v>
      </c>
      <c r="B154" s="5" t="inlineStr">
        <is>
          <t>ADS</t>
        </is>
      </c>
      <c r="C154" s="4" t="inlineStr">
        <is>
          <t>HOSE</t>
        </is>
      </c>
      <c r="D154" s="6" t="inlineStr">
        <is>
          <t>CTCP Damsan</t>
        </is>
      </c>
      <c r="E154" s="6" t="inlineStr">
        <is>
          <t>Hàng cá nhân &amp; Gia dụng</t>
        </is>
      </c>
      <c r="F154" s="6" t="inlineStr">
        <is>
          <t>Hàng Tiêu dùng</t>
        </is>
      </c>
      <c r="G154" s="4" t="inlineStr">
        <is>
          <t>Thành viên</t>
        </is>
      </c>
      <c r="H154" s="8" t="n">
        <v>77690</v>
      </c>
      <c r="I154" s="9" t="n">
        <v>7950</v>
      </c>
      <c r="J154" s="10" t="inlineStr">
        <is>
          <t>Cả tiền mặt &amp; cổ phiếu</t>
        </is>
      </c>
      <c r="K154" s="11" t="inlineStr">
        <is>
          <t>Hàng năm</t>
        </is>
      </c>
      <c r="L154" s="12" t="inlineStr">
        <is>
          <t>Có</t>
        </is>
      </c>
      <c r="M154" s="6" t="inlineStr">
        <is>
          <t>2026, 2025, 2024, 2021, 2019, 2018, 2017</t>
        </is>
      </c>
      <c r="N154" s="6" t="inlineStr">
        <is>
          <t>2024, 2023, 2022, 2020, 2016</t>
        </is>
      </c>
      <c r="O154" s="6" t="inlineStr">
        <is>
          <t>Tiền mặt hàng năm (2026, 2025, 2024, 2021, 2019, 2018, 2017); Cổ tức CP (2024, 2023, 2022, 2020, 2016)</t>
        </is>
      </c>
    </row>
    <row r="155" ht="22" customHeight="1">
      <c r="A155" s="13" t="n">
        <v>152</v>
      </c>
      <c r="B155" s="5" t="inlineStr">
        <is>
          <t>DPM</t>
        </is>
      </c>
      <c r="C155" s="13" t="inlineStr">
        <is>
          <t>HOSE</t>
        </is>
      </c>
      <c r="D155" s="14" t="inlineStr">
        <is>
          <t>Tổng công ty Phân bón và Hóa chất Dầu khí - CTCP</t>
        </is>
      </c>
      <c r="E155" s="14" t="inlineStr">
        <is>
          <t>Hóa chất</t>
        </is>
      </c>
      <c r="F155" s="14" t="inlineStr">
        <is>
          <t>Nguyên vật liệu</t>
        </is>
      </c>
      <c r="G155" s="7" t="inlineStr">
        <is>
          <t>⭐ Đầu ngành</t>
        </is>
      </c>
      <c r="H155" s="15" t="n">
        <v>3596115</v>
      </c>
      <c r="I155" s="16" t="n">
        <v>22850</v>
      </c>
      <c r="J155" s="17" t="inlineStr">
        <is>
          <t>Cả tiền mặt &amp; cổ phiếu</t>
        </is>
      </c>
      <c r="K155" s="11" t="inlineStr">
        <is>
          <t>Hàng năm</t>
        </is>
      </c>
      <c r="L155" s="12" t="inlineStr">
        <is>
          <t>Có</t>
        </is>
      </c>
      <c r="M155" s="14" t="inlineStr">
        <is>
          <t>2026, 2025, 2024, 2023, 2022, 2021, 2020, 2019</t>
        </is>
      </c>
      <c r="N155" s="14" t="inlineStr">
        <is>
          <t>2025</t>
        </is>
      </c>
      <c r="O155" s="14" t="inlineStr">
        <is>
          <t>Tiền mặt hàng năm (2026, 2025, 2024, 2023, 2022, 2021, 2020, 2019); Cổ tức CP (2025)</t>
        </is>
      </c>
    </row>
    <row r="156" ht="22" customHeight="1">
      <c r="A156" s="4" t="n">
        <v>153</v>
      </c>
      <c r="B156" s="22" t="inlineStr">
        <is>
          <t>DCM</t>
        </is>
      </c>
      <c r="C156" s="4" t="inlineStr">
        <is>
          <t>HOSE</t>
        </is>
      </c>
      <c r="D156" s="6" t="inlineStr">
        <is>
          <t>CTCP - Tổng công ty Phân bón Dầu khí Cà Mau</t>
        </is>
      </c>
      <c r="E156" s="6" t="inlineStr">
        <is>
          <t>Hóa chất</t>
        </is>
      </c>
      <c r="F156" s="6" t="inlineStr">
        <is>
          <t>Nguyên vật liệu</t>
        </is>
      </c>
      <c r="G156" s="7" t="inlineStr">
        <is>
          <t>⭐ Đầu ngành</t>
        </is>
      </c>
      <c r="H156" s="8" t="n">
        <v>3364255</v>
      </c>
      <c r="I156" s="9" t="n">
        <v>33050</v>
      </c>
      <c r="J156" s="27" t="inlineStr">
        <is>
          <t>Tiền mặt hàng năm</t>
        </is>
      </c>
      <c r="K156" s="11" t="inlineStr">
        <is>
          <t>Hàng năm</t>
        </is>
      </c>
      <c r="L156" s="4" t="inlineStr">
        <is>
          <t>Không</t>
        </is>
      </c>
      <c r="M156" s="6" t="inlineStr">
        <is>
          <t>2026, 2025, 2024, 2023, 2022, 2021, 2020, 2019</t>
        </is>
      </c>
      <c r="N156" s="6" t="inlineStr">
        <is>
          <t>-</t>
        </is>
      </c>
      <c r="O156" s="6" t="inlineStr">
        <is>
          <t>Tiền mặt hàng năm (2026, 2025, 2024, 2023, 2022, 2021, 2020, 2019)</t>
        </is>
      </c>
    </row>
    <row r="157" ht="22" customHeight="1">
      <c r="A157" s="13" t="n">
        <v>154</v>
      </c>
      <c r="B157" s="22" t="inlineStr">
        <is>
          <t>GVR</t>
        </is>
      </c>
      <c r="C157" s="13" t="inlineStr">
        <is>
          <t>HOSE</t>
        </is>
      </c>
      <c r="D157" s="14" t="inlineStr">
        <is>
          <t>Tập đoàn Công nghiệp Cao su Việt Nam - CTCP</t>
        </is>
      </c>
      <c r="E157" s="14" t="inlineStr">
        <is>
          <t>Hóa chất</t>
        </is>
      </c>
      <c r="F157" s="14" t="inlineStr">
        <is>
          <t>Nguyên vật liệu</t>
        </is>
      </c>
      <c r="G157" s="7" t="inlineStr">
        <is>
          <t>⭐ Đầu ngành</t>
        </is>
      </c>
      <c r="H157" s="15" t="n">
        <v>2230660</v>
      </c>
      <c r="I157" s="16" t="n">
        <v>31900</v>
      </c>
      <c r="J157" s="23" t="inlineStr">
        <is>
          <t>Tiền mặt hàng năm</t>
        </is>
      </c>
      <c r="K157" s="11" t="inlineStr">
        <is>
          <t>Hàng năm</t>
        </is>
      </c>
      <c r="L157" s="13" t="inlineStr">
        <is>
          <t>Không</t>
        </is>
      </c>
      <c r="M157" s="14" t="inlineStr">
        <is>
          <t>2025, 2024, 2023, 2022, 2021, 2020, 2019</t>
        </is>
      </c>
      <c r="N157" s="14" t="inlineStr">
        <is>
          <t>-</t>
        </is>
      </c>
      <c r="O157" s="14" t="inlineStr">
        <is>
          <t>Tiền mặt hàng năm (2025, 2024, 2023, 2022, 2021, 2020, 2019)</t>
        </is>
      </c>
    </row>
    <row r="158" ht="22" customHeight="1">
      <c r="A158" s="4" t="n">
        <v>155</v>
      </c>
      <c r="B158" s="5" t="inlineStr">
        <is>
          <t>AAA</t>
        </is>
      </c>
      <c r="C158" s="4" t="inlineStr">
        <is>
          <t>HOSE</t>
        </is>
      </c>
      <c r="D158" s="6" t="inlineStr">
        <is>
          <t>CTCP Nhựa An Phát Xanh</t>
        </is>
      </c>
      <c r="E158" s="6" t="inlineStr">
        <is>
          <t>Hóa chất</t>
        </is>
      </c>
      <c r="F158" s="6" t="inlineStr">
        <is>
          <t>Nguyên vật liệu</t>
        </is>
      </c>
      <c r="G158" s="7" t="inlineStr">
        <is>
          <t>⭐ Đầu ngành</t>
        </is>
      </c>
      <c r="H158" s="8" t="n">
        <v>1543860</v>
      </c>
      <c r="I158" s="9" t="n">
        <v>7260</v>
      </c>
      <c r="J158" s="10" t="inlineStr">
        <is>
          <t>Cả tiền mặt &amp; cổ phiếu</t>
        </is>
      </c>
      <c r="K158" s="11" t="inlineStr">
        <is>
          <t>Hàng năm</t>
        </is>
      </c>
      <c r="L158" s="12" t="inlineStr">
        <is>
          <t>Có</t>
        </is>
      </c>
      <c r="M158" s="6" t="inlineStr">
        <is>
          <t>2026, 2025, 2021, 2020, 2019, 2018, 2017, 2016</t>
        </is>
      </c>
      <c r="N158" s="6" t="inlineStr">
        <is>
          <t>2022, 2021, 2020, 2016, 2015</t>
        </is>
      </c>
      <c r="O158" s="6" t="inlineStr">
        <is>
          <t>Tiền mặt hàng năm (2026, 2025, 2021, 2020, 2019, 2018, 2017, 2016); Cổ tức CP (2022, 2021, 2020, 2016, 2015)</t>
        </is>
      </c>
    </row>
    <row r="159" ht="22" customHeight="1">
      <c r="A159" s="13" t="n">
        <v>156</v>
      </c>
      <c r="B159" s="5" t="inlineStr">
        <is>
          <t>DGC</t>
        </is>
      </c>
      <c r="C159" s="13" t="inlineStr">
        <is>
          <t>HOSE</t>
        </is>
      </c>
      <c r="D159" s="14" t="inlineStr">
        <is>
          <t>CTCP Tập đoàn Hóa chất Đức Giang</t>
        </is>
      </c>
      <c r="E159" s="14" t="inlineStr">
        <is>
          <t>Hóa chất</t>
        </is>
      </c>
      <c r="F159" s="14" t="inlineStr">
        <is>
          <t>Nguyên vật liệu</t>
        </is>
      </c>
      <c r="G159" s="7" t="inlineStr">
        <is>
          <t>⭐ Đầu ngành</t>
        </is>
      </c>
      <c r="H159" s="15" t="n">
        <v>886710</v>
      </c>
      <c r="I159" s="16" t="n">
        <v>35950</v>
      </c>
      <c r="J159" s="17" t="inlineStr">
        <is>
          <t>Cả tiền mặt &amp; cổ phiếu</t>
        </is>
      </c>
      <c r="K159" s="11" t="inlineStr">
        <is>
          <t>Hàng năm</t>
        </is>
      </c>
      <c r="L159" s="12" t="inlineStr">
        <is>
          <t>Có</t>
        </is>
      </c>
      <c r="M159" s="14" t="inlineStr">
        <is>
          <t>2026, 2025, 2024, 2023, 2022, 2021, 2020, 2019</t>
        </is>
      </c>
      <c r="N159" s="14" t="inlineStr">
        <is>
          <t>2022, 2021, 2020, 2019, 2016, 2015</t>
        </is>
      </c>
      <c r="O159" s="14" t="inlineStr">
        <is>
          <t>Tiền mặt hàng năm (2026, 2025, 2024, 2023, 2022, 2021, 2020, 2019); Cổ tức CP (2022, 2021, 2020, 2019, 2016, 2015)</t>
        </is>
      </c>
    </row>
    <row r="160" ht="22" customHeight="1">
      <c r="A160" s="4" t="n">
        <v>157</v>
      </c>
      <c r="B160" s="5" t="inlineStr">
        <is>
          <t>CSV</t>
        </is>
      </c>
      <c r="C160" s="4" t="inlineStr">
        <is>
          <t>HOSE</t>
        </is>
      </c>
      <c r="D160" s="6" t="inlineStr">
        <is>
          <t>CTCP Hóa chất Cơ bản Miền Nam</t>
        </is>
      </c>
      <c r="E160" s="6" t="inlineStr">
        <is>
          <t>Hóa chất</t>
        </is>
      </c>
      <c r="F160" s="6" t="inlineStr">
        <is>
          <t>Nguyên vật liệu</t>
        </is>
      </c>
      <c r="G160" s="7" t="inlineStr">
        <is>
          <t>⭐ Đầu ngành</t>
        </is>
      </c>
      <c r="H160" s="8" t="n">
        <v>239425</v>
      </c>
      <c r="I160" s="9" t="n">
        <v>20900</v>
      </c>
      <c r="J160" s="10" t="inlineStr">
        <is>
          <t>Cả tiền mặt &amp; cổ phiếu</t>
        </is>
      </c>
      <c r="K160" s="11" t="inlineStr">
        <is>
          <t>Hàng năm</t>
        </is>
      </c>
      <c r="L160" s="12" t="inlineStr">
        <is>
          <t>Có</t>
        </is>
      </c>
      <c r="M160" s="6" t="inlineStr">
        <is>
          <t>2025, 2024, 2023, 2022, 2021, 2020, 2019, 2018</t>
        </is>
      </c>
      <c r="N160" s="6" t="inlineStr">
        <is>
          <t>2024</t>
        </is>
      </c>
      <c r="O160" s="6" t="inlineStr">
        <is>
          <t>Tiền mặt hàng năm (2025, 2024, 2023, 2022, 2021, 2020, 2019, 2018); Cổ tức CP (2024)</t>
        </is>
      </c>
    </row>
    <row r="161" ht="22" customHeight="1">
      <c r="A161" s="13" t="n">
        <v>158</v>
      </c>
      <c r="B161" s="20" t="inlineStr">
        <is>
          <t>VTZ</t>
        </is>
      </c>
      <c r="C161" s="13" t="inlineStr">
        <is>
          <t>HNX</t>
        </is>
      </c>
      <c r="D161" s="14" t="inlineStr">
        <is>
          <t>CTCP Sản xuất và Thương mại Nhựa Việt Thành</t>
        </is>
      </c>
      <c r="E161" s="14" t="inlineStr">
        <is>
          <t>Hóa chất</t>
        </is>
      </c>
      <c r="F161" s="14" t="inlineStr">
        <is>
          <t>Nguyên vật liệu</t>
        </is>
      </c>
      <c r="G161" s="13" t="inlineStr">
        <is>
          <t>Thành viên</t>
        </is>
      </c>
      <c r="H161" s="15" t="n">
        <v>1152590</v>
      </c>
      <c r="I161" s="16" t="n">
        <v>20400</v>
      </c>
      <c r="J161" s="21" t="inlineStr">
        <is>
          <t>Cổ tức cổ phiếu</t>
        </is>
      </c>
      <c r="K161" s="13" t="inlineStr">
        <is>
          <t>Không</t>
        </is>
      </c>
      <c r="L161" s="12" t="inlineStr">
        <is>
          <t>Có</t>
        </is>
      </c>
      <c r="M161" s="14" t="inlineStr">
        <is>
          <t>-</t>
        </is>
      </c>
      <c r="N161" s="14" t="inlineStr">
        <is>
          <t>2024, 2022</t>
        </is>
      </c>
      <c r="O161" s="14" t="inlineStr">
        <is>
          <t>Cổ tức CP (2024, 2022)</t>
        </is>
      </c>
    </row>
    <row r="162" ht="22" customHeight="1">
      <c r="A162" s="4" t="n">
        <v>159</v>
      </c>
      <c r="B162" s="22" t="inlineStr">
        <is>
          <t>DRI</t>
        </is>
      </c>
      <c r="C162" s="4" t="inlineStr">
        <is>
          <t>UPCOM</t>
        </is>
      </c>
      <c r="D162" s="6" t="inlineStr">
        <is>
          <t>CTCP Đầu tư Cao su Đắk Lắk</t>
        </is>
      </c>
      <c r="E162" s="6" t="inlineStr">
        <is>
          <t>Hóa chất</t>
        </is>
      </c>
      <c r="F162" s="6" t="inlineStr">
        <is>
          <t>Nguyên vật liệu</t>
        </is>
      </c>
      <c r="G162" s="4" t="inlineStr">
        <is>
          <t>Thành viên</t>
        </is>
      </c>
      <c r="H162" s="8" t="n">
        <v>736365</v>
      </c>
      <c r="I162" s="9" t="n">
        <v>14800</v>
      </c>
      <c r="J162" s="27" t="inlineStr">
        <is>
          <t>Tiền mặt hàng năm</t>
        </is>
      </c>
      <c r="K162" s="11" t="inlineStr">
        <is>
          <t>Hàng năm</t>
        </is>
      </c>
      <c r="L162" s="4" t="inlineStr">
        <is>
          <t>Không</t>
        </is>
      </c>
      <c r="M162" s="6" t="inlineStr">
        <is>
          <t>2026, 2025, 2024, 2023, 2022, 2021, 2020, 2019</t>
        </is>
      </c>
      <c r="N162" s="6" t="inlineStr">
        <is>
          <t>-</t>
        </is>
      </c>
      <c r="O162" s="6" t="inlineStr">
        <is>
          <t>Tiền mặt hàng năm (2026, 2025, 2024, 2023, 2022, 2021, 2020, 2019)</t>
        </is>
      </c>
    </row>
    <row r="163" ht="22" customHeight="1">
      <c r="A163" s="13" t="n">
        <v>160</v>
      </c>
      <c r="B163" s="5" t="inlineStr">
        <is>
          <t>HII</t>
        </is>
      </c>
      <c r="C163" s="13" t="inlineStr">
        <is>
          <t>HOSE</t>
        </is>
      </c>
      <c r="D163" s="14" t="inlineStr">
        <is>
          <t>CTCP An Tiến Industries</t>
        </is>
      </c>
      <c r="E163" s="14" t="inlineStr">
        <is>
          <t>Hóa chất</t>
        </is>
      </c>
      <c r="F163" s="14" t="inlineStr">
        <is>
          <t>Nguyên vật liệu</t>
        </is>
      </c>
      <c r="G163" s="13" t="inlineStr">
        <is>
          <t>Thành viên</t>
        </is>
      </c>
      <c r="H163" s="15" t="n">
        <v>722685</v>
      </c>
      <c r="I163" s="16" t="n">
        <v>10600</v>
      </c>
      <c r="J163" s="17" t="inlineStr">
        <is>
          <t>Cả tiền mặt &amp; cổ phiếu</t>
        </is>
      </c>
      <c r="K163" s="11" t="inlineStr">
        <is>
          <t>Hàng năm</t>
        </is>
      </c>
      <c r="L163" s="12" t="inlineStr">
        <is>
          <t>Có</t>
        </is>
      </c>
      <c r="M163" s="14" t="inlineStr">
        <is>
          <t>2026, 2025, 2018, 2017</t>
        </is>
      </c>
      <c r="N163" s="14" t="inlineStr">
        <is>
          <t>2021, 2020</t>
        </is>
      </c>
      <c r="O163" s="14" t="inlineStr">
        <is>
          <t>Tiền mặt hàng năm (2026, 2025, 2018, 2017); Cổ tức CP (2021, 2020)</t>
        </is>
      </c>
    </row>
    <row r="164" ht="22" customHeight="1">
      <c r="A164" s="4" t="n">
        <v>161</v>
      </c>
      <c r="B164" s="5" t="inlineStr">
        <is>
          <t>PHR</t>
        </is>
      </c>
      <c r="C164" s="4" t="inlineStr">
        <is>
          <t>HOSE</t>
        </is>
      </c>
      <c r="D164" s="6" t="inlineStr">
        <is>
          <t>CTCP Cao su Phước Hòa</t>
        </is>
      </c>
      <c r="E164" s="6" t="inlineStr">
        <is>
          <t>Hóa chất</t>
        </is>
      </c>
      <c r="F164" s="6" t="inlineStr">
        <is>
          <t>Nguyên vật liệu</t>
        </is>
      </c>
      <c r="G164" s="4" t="inlineStr">
        <is>
          <t>Thành viên</t>
        </is>
      </c>
      <c r="H164" s="8" t="n">
        <v>463510</v>
      </c>
      <c r="I164" s="9" t="n">
        <v>31550</v>
      </c>
      <c r="J164" s="10" t="inlineStr">
        <is>
          <t>Cả tiền mặt &amp; cổ phiếu</t>
        </is>
      </c>
      <c r="K164" s="11" t="inlineStr">
        <is>
          <t>Hàng năm</t>
        </is>
      </c>
      <c r="L164" s="12" t="inlineStr">
        <is>
          <t>Có</t>
        </is>
      </c>
      <c r="M164" s="6" t="inlineStr">
        <is>
          <t>2026, 2025, 2024, 2023, 2022, 2021, 2020, 2019</t>
        </is>
      </c>
      <c r="N164" s="6" t="inlineStr">
        <is>
          <t>2026, 2018</t>
        </is>
      </c>
      <c r="O164" s="6" t="inlineStr">
        <is>
          <t>Tiền mặt hàng năm (2026, 2025, 2024, 2023, 2022, 2021, 2020, 2019); Cổ tức CP (2026, 2018)</t>
        </is>
      </c>
    </row>
    <row r="165" ht="22" customHeight="1">
      <c r="A165" s="13" t="n">
        <v>162</v>
      </c>
      <c r="B165" s="22" t="inlineStr">
        <is>
          <t>DDV</t>
        </is>
      </c>
      <c r="C165" s="13" t="inlineStr">
        <is>
          <t>UPCOM</t>
        </is>
      </c>
      <c r="D165" s="14" t="inlineStr">
        <is>
          <t>CTCP DAP - VINACHEM</t>
        </is>
      </c>
      <c r="E165" s="14" t="inlineStr">
        <is>
          <t>Hóa chất</t>
        </is>
      </c>
      <c r="F165" s="14" t="inlineStr">
        <is>
          <t>Nguyên vật liệu</t>
        </is>
      </c>
      <c r="G165" s="13" t="inlineStr">
        <is>
          <t>Thành viên</t>
        </is>
      </c>
      <c r="H165" s="15" t="n">
        <v>356165</v>
      </c>
      <c r="I165" s="16" t="n">
        <v>16900</v>
      </c>
      <c r="J165" s="23" t="inlineStr">
        <is>
          <t>Tiền mặt hàng năm</t>
        </is>
      </c>
      <c r="K165" s="11" t="inlineStr">
        <is>
          <t>Hàng năm</t>
        </is>
      </c>
      <c r="L165" s="13" t="inlineStr">
        <is>
          <t>Không</t>
        </is>
      </c>
      <c r="M165" s="14" t="inlineStr">
        <is>
          <t>2026, 2025, 2024, 2023, 2016</t>
        </is>
      </c>
      <c r="N165" s="14" t="inlineStr">
        <is>
          <t>-</t>
        </is>
      </c>
      <c r="O165" s="14" t="inlineStr">
        <is>
          <t>Tiền mặt hàng năm (2026, 2025, 2024, 2023, 2016)</t>
        </is>
      </c>
    </row>
    <row r="166" ht="22" customHeight="1">
      <c r="A166" s="4" t="n">
        <v>163</v>
      </c>
      <c r="B166" s="5" t="inlineStr">
        <is>
          <t>ABS</t>
        </is>
      </c>
      <c r="C166" s="4" t="inlineStr">
        <is>
          <t>HOSE</t>
        </is>
      </c>
      <c r="D166" s="6" t="inlineStr">
        <is>
          <t>CTCP Dịch vụ Nông nghiệp Bình Thuận</t>
        </is>
      </c>
      <c r="E166" s="6" t="inlineStr">
        <is>
          <t>Hóa chất</t>
        </is>
      </c>
      <c r="F166" s="6" t="inlineStr">
        <is>
          <t>Nguyên vật liệu</t>
        </is>
      </c>
      <c r="G166" s="4" t="inlineStr">
        <is>
          <t>Thành viên</t>
        </is>
      </c>
      <c r="H166" s="8" t="n">
        <v>239135</v>
      </c>
      <c r="I166" s="9" t="n">
        <v>2900</v>
      </c>
      <c r="J166" s="10" t="inlineStr">
        <is>
          <t>Cả tiền mặt &amp; cổ phiếu</t>
        </is>
      </c>
      <c r="K166" s="11" t="inlineStr">
        <is>
          <t>Hàng năm</t>
        </is>
      </c>
      <c r="L166" s="12" t="inlineStr">
        <is>
          <t>Có</t>
        </is>
      </c>
      <c r="M166" s="6" t="inlineStr">
        <is>
          <t>2022, 2021</t>
        </is>
      </c>
      <c r="N166" s="6" t="inlineStr">
        <is>
          <t>2020</t>
        </is>
      </c>
      <c r="O166" s="6" t="inlineStr">
        <is>
          <t>Tiền mặt hàng năm (2022, 2021); Cổ tức CP (2020)</t>
        </is>
      </c>
    </row>
    <row r="167" ht="22" customHeight="1">
      <c r="A167" s="13" t="n">
        <v>164</v>
      </c>
      <c r="B167" s="5" t="inlineStr">
        <is>
          <t>DPR</t>
        </is>
      </c>
      <c r="C167" s="13" t="inlineStr">
        <is>
          <t>HOSE</t>
        </is>
      </c>
      <c r="D167" s="14" t="inlineStr">
        <is>
          <t>CTCP Cao su Đồng Phú</t>
        </is>
      </c>
      <c r="E167" s="14" t="inlineStr">
        <is>
          <t>Hóa chất</t>
        </is>
      </c>
      <c r="F167" s="14" t="inlineStr">
        <is>
          <t>Nguyên vật liệu</t>
        </is>
      </c>
      <c r="G167" s="13" t="inlineStr">
        <is>
          <t>Thành viên</t>
        </is>
      </c>
      <c r="H167" s="15" t="n">
        <v>218765</v>
      </c>
      <c r="I167" s="16" t="n">
        <v>37850</v>
      </c>
      <c r="J167" s="17" t="inlineStr">
        <is>
          <t>Cả tiền mặt &amp; cổ phiếu</t>
        </is>
      </c>
      <c r="K167" s="11" t="inlineStr">
        <is>
          <t>Hàng năm</t>
        </is>
      </c>
      <c r="L167" s="12" t="inlineStr">
        <is>
          <t>Có</t>
        </is>
      </c>
      <c r="M167" s="14" t="inlineStr">
        <is>
          <t>2025, 2024, 2023, 2022, 2021, 2020, 2019, 2018</t>
        </is>
      </c>
      <c r="N167" s="14" t="inlineStr">
        <is>
          <t>2023</t>
        </is>
      </c>
      <c r="O167" s="14" t="inlineStr">
        <is>
          <t>Tiền mặt hàng năm (2025, 2024, 2023, 2022, 2021, 2020, 2019, 2018); Cổ tức CP (2023)</t>
        </is>
      </c>
    </row>
    <row r="168" ht="22" customHeight="1">
      <c r="A168" s="4" t="n">
        <v>165</v>
      </c>
      <c r="B168" s="20" t="inlineStr">
        <is>
          <t>PLP</t>
        </is>
      </c>
      <c r="C168" s="4" t="inlineStr">
        <is>
          <t>HOSE</t>
        </is>
      </c>
      <c r="D168" s="6" t="inlineStr">
        <is>
          <t>CTCP Sản xuất và Công nghệ Nhựa Pha Lê</t>
        </is>
      </c>
      <c r="E168" s="6" t="inlineStr">
        <is>
          <t>Hóa chất</t>
        </is>
      </c>
      <c r="F168" s="6" t="inlineStr">
        <is>
          <t>Nguyên vật liệu</t>
        </is>
      </c>
      <c r="G168" s="4" t="inlineStr">
        <is>
          <t>Thành viên</t>
        </is>
      </c>
      <c r="H168" s="8" t="n">
        <v>194365</v>
      </c>
      <c r="I168" s="9" t="n">
        <v>3800</v>
      </c>
      <c r="J168" s="24" t="inlineStr">
        <is>
          <t>Cổ tức cổ phiếu</t>
        </is>
      </c>
      <c r="K168" s="4" t="inlineStr">
        <is>
          <t>Không</t>
        </is>
      </c>
      <c r="L168" s="12" t="inlineStr">
        <is>
          <t>Có</t>
        </is>
      </c>
      <c r="M168" s="6" t="inlineStr">
        <is>
          <t>-</t>
        </is>
      </c>
      <c r="N168" s="6" t="inlineStr">
        <is>
          <t>2020, 2019</t>
        </is>
      </c>
      <c r="O168" s="6" t="inlineStr">
        <is>
          <t>Cổ tức CP (2020, 2019)</t>
        </is>
      </c>
    </row>
    <row r="169" ht="22" customHeight="1">
      <c r="A169" s="13" t="n">
        <v>166</v>
      </c>
      <c r="B169" s="5" t="inlineStr">
        <is>
          <t>TRC</t>
        </is>
      </c>
      <c r="C169" s="13" t="inlineStr">
        <is>
          <t>HOSE</t>
        </is>
      </c>
      <c r="D169" s="14" t="inlineStr">
        <is>
          <t>CTCP Cao su Tây Ninh</t>
        </is>
      </c>
      <c r="E169" s="14" t="inlineStr">
        <is>
          <t>Hóa chất</t>
        </is>
      </c>
      <c r="F169" s="14" t="inlineStr">
        <is>
          <t>Nguyên vật liệu</t>
        </is>
      </c>
      <c r="G169" s="13" t="inlineStr">
        <is>
          <t>Thành viên</t>
        </is>
      </c>
      <c r="H169" s="15" t="n">
        <v>179695</v>
      </c>
      <c r="I169" s="16" t="n">
        <v>21800</v>
      </c>
      <c r="J169" s="17" t="inlineStr">
        <is>
          <t>Cả tiền mặt &amp; cổ phiếu</t>
        </is>
      </c>
      <c r="K169" s="11" t="inlineStr">
        <is>
          <t>Hàng năm</t>
        </is>
      </c>
      <c r="L169" s="12" t="inlineStr">
        <is>
          <t>Có</t>
        </is>
      </c>
      <c r="M169" s="14" t="inlineStr">
        <is>
          <t>2026, 2025, 2024, 2022, 2021, 2020, 2019, 2018</t>
        </is>
      </c>
      <c r="N169" s="14" t="inlineStr">
        <is>
          <t>2026</t>
        </is>
      </c>
      <c r="O169" s="14" t="inlineStr">
        <is>
          <t>Tiền mặt hàng năm (2026, 2025, 2024, 2022, 2021, 2020, 2019, 2018); Cổ tức CP (2026)</t>
        </is>
      </c>
    </row>
    <row r="170" ht="22" customHeight="1">
      <c r="A170" s="4" t="n">
        <v>167</v>
      </c>
      <c r="B170" s="5" t="inlineStr">
        <is>
          <t>LAS</t>
        </is>
      </c>
      <c r="C170" s="4" t="inlineStr">
        <is>
          <t>HNX</t>
        </is>
      </c>
      <c r="D170" s="6" t="inlineStr">
        <is>
          <t>CTCP Supe Phốt phát và Hóa chất Lâm Thao</t>
        </is>
      </c>
      <c r="E170" s="6" t="inlineStr">
        <is>
          <t>Hóa chất</t>
        </is>
      </c>
      <c r="F170" s="6" t="inlineStr">
        <is>
          <t>Nguyên vật liệu</t>
        </is>
      </c>
      <c r="G170" s="4" t="inlineStr">
        <is>
          <t>Thành viên</t>
        </is>
      </c>
      <c r="H170" s="8" t="n">
        <v>159620</v>
      </c>
      <c r="I170" s="9" t="n">
        <v>11800</v>
      </c>
      <c r="J170" s="10" t="inlineStr">
        <is>
          <t>Cả tiền mặt &amp; cổ phiếu</t>
        </is>
      </c>
      <c r="K170" s="11" t="inlineStr">
        <is>
          <t>Hàng năm</t>
        </is>
      </c>
      <c r="L170" s="12" t="inlineStr">
        <is>
          <t>Có</t>
        </is>
      </c>
      <c r="M170" s="6" t="inlineStr">
        <is>
          <t>2025, 2024, 2023, 2022, 2019, 2018, 2017, 2016</t>
        </is>
      </c>
      <c r="N170" s="6" t="inlineStr">
        <is>
          <t>2016</t>
        </is>
      </c>
      <c r="O170" s="6" t="inlineStr">
        <is>
          <t>Tiền mặt hàng năm (2025, 2024, 2023, 2022, 2019, 2018, 2017, 2016); Cổ tức CP (2016)</t>
        </is>
      </c>
    </row>
    <row r="171" ht="22" customHeight="1">
      <c r="A171" s="13" t="n">
        <v>168</v>
      </c>
      <c r="B171" s="5" t="inlineStr">
        <is>
          <t>BFC</t>
        </is>
      </c>
      <c r="C171" s="13" t="inlineStr">
        <is>
          <t>HOSE</t>
        </is>
      </c>
      <c r="D171" s="14" t="inlineStr">
        <is>
          <t>CTCP Phân bón Bình Điền</t>
        </is>
      </c>
      <c r="E171" s="14" t="inlineStr">
        <is>
          <t>Hóa chất</t>
        </is>
      </c>
      <c r="F171" s="14" t="inlineStr">
        <is>
          <t>Nguyên vật liệu</t>
        </is>
      </c>
      <c r="G171" s="13" t="inlineStr">
        <is>
          <t>Thành viên</t>
        </is>
      </c>
      <c r="H171" s="15" t="n">
        <v>145990</v>
      </c>
      <c r="I171" s="16" t="n">
        <v>47600</v>
      </c>
      <c r="J171" s="17" t="inlineStr">
        <is>
          <t>Cả tiền mặt &amp; cổ phiếu</t>
        </is>
      </c>
      <c r="K171" s="11" t="inlineStr">
        <is>
          <t>Hàng năm</t>
        </is>
      </c>
      <c r="L171" s="12" t="inlineStr">
        <is>
          <t>Có</t>
        </is>
      </c>
      <c r="M171" s="14" t="inlineStr">
        <is>
          <t>2026, 2025, 2024, 2023, 2022, 2021, 2019, 2018</t>
        </is>
      </c>
      <c r="N171" s="14" t="inlineStr">
        <is>
          <t>2016</t>
        </is>
      </c>
      <c r="O171" s="14" t="inlineStr">
        <is>
          <t>Tiền mặt hàng năm (2026, 2025, 2024, 2023, 2022, 2021, 2019, 2018); Cổ tức CP (2016)</t>
        </is>
      </c>
    </row>
    <row r="172" ht="22" customHeight="1">
      <c r="A172" s="4" t="n">
        <v>169</v>
      </c>
      <c r="B172" s="5" t="inlineStr">
        <is>
          <t>PLC</t>
        </is>
      </c>
      <c r="C172" s="4" t="inlineStr">
        <is>
          <t>HNX</t>
        </is>
      </c>
      <c r="D172" s="6" t="inlineStr">
        <is>
          <t>Tổng Công ty Hóa dầu Petrolimex - CTCP</t>
        </is>
      </c>
      <c r="E172" s="6" t="inlineStr">
        <is>
          <t>Hóa chất</t>
        </is>
      </c>
      <c r="F172" s="6" t="inlineStr">
        <is>
          <t>Nguyên vật liệu</t>
        </is>
      </c>
      <c r="G172" s="4" t="inlineStr">
        <is>
          <t>Thành viên</t>
        </is>
      </c>
      <c r="H172" s="8" t="n">
        <v>116210</v>
      </c>
      <c r="I172" s="9" t="n">
        <v>19200</v>
      </c>
      <c r="J172" s="10" t="inlineStr">
        <is>
          <t>Cả tiền mặt &amp; cổ phiếu</t>
        </is>
      </c>
      <c r="K172" s="11" t="inlineStr">
        <is>
          <t>Hàng năm</t>
        </is>
      </c>
      <c r="L172" s="12" t="inlineStr">
        <is>
          <t>Có</t>
        </is>
      </c>
      <c r="M172" s="6" t="inlineStr">
        <is>
          <t>2025, 2024, 2022, 2021, 2020, 2019, 2018, 2017</t>
        </is>
      </c>
      <c r="N172" s="6" t="inlineStr">
        <is>
          <t>2015, 2014, 2013, 2012</t>
        </is>
      </c>
      <c r="O172" s="6" t="inlineStr">
        <is>
          <t>Tiền mặt hàng năm (2025, 2024, 2022, 2021, 2020, 2019, 2018, 2017); Cổ tức CP (2015, 2014, 2013, 2012)</t>
        </is>
      </c>
    </row>
    <row r="173" ht="22" customHeight="1">
      <c r="A173" s="13" t="n">
        <v>170</v>
      </c>
      <c r="B173" s="5" t="inlineStr">
        <is>
          <t>TSC</t>
        </is>
      </c>
      <c r="C173" s="13" t="inlineStr">
        <is>
          <t>HOSE</t>
        </is>
      </c>
      <c r="D173" s="14" t="inlineStr">
        <is>
          <t>CTCP Vật tư Kỹ thuật nông nghiệp Cần Thơ</t>
        </is>
      </c>
      <c r="E173" s="14" t="inlineStr">
        <is>
          <t>Hóa chất</t>
        </is>
      </c>
      <c r="F173" s="14" t="inlineStr">
        <is>
          <t>Nguyên vật liệu</t>
        </is>
      </c>
      <c r="G173" s="13" t="inlineStr">
        <is>
          <t>Thành viên</t>
        </is>
      </c>
      <c r="H173" s="15" t="n">
        <v>112815</v>
      </c>
      <c r="I173" s="16" t="n">
        <v>1930</v>
      </c>
      <c r="J173" s="17" t="inlineStr">
        <is>
          <t>Cả tiền mặt &amp; cổ phiếu</t>
        </is>
      </c>
      <c r="K173" s="11" t="inlineStr">
        <is>
          <t>Hàng năm</t>
        </is>
      </c>
      <c r="L173" s="12" t="inlineStr">
        <is>
          <t>Có</t>
        </is>
      </c>
      <c r="M173" s="14" t="inlineStr">
        <is>
          <t>2009, 2008, 2007</t>
        </is>
      </c>
      <c r="N173" s="14" t="inlineStr">
        <is>
          <t>2015</t>
        </is>
      </c>
      <c r="O173" s="14" t="inlineStr">
        <is>
          <t>Tiền mặt hàng năm (2009, 2008, 2007); Cổ tức CP (2015)</t>
        </is>
      </c>
    </row>
    <row r="174" ht="22" customHeight="1">
      <c r="A174" s="4" t="n">
        <v>171</v>
      </c>
      <c r="B174" s="20" t="inlineStr">
        <is>
          <t>PCH</t>
        </is>
      </c>
      <c r="C174" s="4" t="inlineStr">
        <is>
          <t>HNX</t>
        </is>
      </c>
      <c r="D174" s="6" t="inlineStr">
        <is>
          <t>CTCP Picomat Holding</t>
        </is>
      </c>
      <c r="E174" s="6" t="inlineStr">
        <is>
          <t>Hóa chất</t>
        </is>
      </c>
      <c r="F174" s="6" t="inlineStr">
        <is>
          <t>Nguyên vật liệu</t>
        </is>
      </c>
      <c r="G174" s="4" t="inlineStr">
        <is>
          <t>Thành viên</t>
        </is>
      </c>
      <c r="H174" s="8" t="n">
        <v>108450</v>
      </c>
      <c r="I174" s="9" t="n">
        <v>18500</v>
      </c>
      <c r="J174" s="24" t="inlineStr">
        <is>
          <t>Cổ tức cổ phiếu</t>
        </is>
      </c>
      <c r="K174" s="4" t="inlineStr">
        <is>
          <t>Không</t>
        </is>
      </c>
      <c r="L174" s="12" t="inlineStr">
        <is>
          <t>Có</t>
        </is>
      </c>
      <c r="M174" s="6" t="inlineStr">
        <is>
          <t>-</t>
        </is>
      </c>
      <c r="N174" s="6" t="inlineStr">
        <is>
          <t>2026, 2025, 2024, 2023</t>
        </is>
      </c>
      <c r="O174" s="6" t="inlineStr">
        <is>
          <t>Cổ tức CP (2026, 2025, 2024, 2023)</t>
        </is>
      </c>
    </row>
    <row r="175" ht="22" customHeight="1">
      <c r="A175" s="13" t="n">
        <v>172</v>
      </c>
      <c r="B175" s="22" t="inlineStr">
        <is>
          <t>TPC</t>
        </is>
      </c>
      <c r="C175" s="13" t="inlineStr">
        <is>
          <t>HOSE</t>
        </is>
      </c>
      <c r="D175" s="14" t="inlineStr">
        <is>
          <t>CTCP Nhựa Tân Đại Hưng</t>
        </is>
      </c>
      <c r="E175" s="14" t="inlineStr">
        <is>
          <t>Hóa chất</t>
        </is>
      </c>
      <c r="F175" s="14" t="inlineStr">
        <is>
          <t>Nguyên vật liệu</t>
        </is>
      </c>
      <c r="G175" s="13" t="inlineStr">
        <is>
          <t>Thành viên</t>
        </is>
      </c>
      <c r="H175" s="15" t="n">
        <v>106495</v>
      </c>
      <c r="I175" s="16" t="n">
        <v>13450</v>
      </c>
      <c r="J175" s="23" t="inlineStr">
        <is>
          <t>Tiền mặt hàng năm</t>
        </is>
      </c>
      <c r="K175" s="11" t="inlineStr">
        <is>
          <t>Hàng năm</t>
        </is>
      </c>
      <c r="L175" s="13" t="inlineStr">
        <is>
          <t>Không</t>
        </is>
      </c>
      <c r="M175" s="14" t="inlineStr">
        <is>
          <t>2022, 2021, 2020, 2019, 2017, 2016, 2015, 2014</t>
        </is>
      </c>
      <c r="N175" s="14" t="inlineStr">
        <is>
          <t>-</t>
        </is>
      </c>
      <c r="O175" s="14" t="inlineStr">
        <is>
          <t>Tiền mặt hàng năm (2022, 2021, 2020, 2019, 2017, 2016, 2015, 2014)</t>
        </is>
      </c>
    </row>
    <row r="176" ht="22" customHeight="1">
      <c r="A176" s="4" t="n">
        <v>173</v>
      </c>
      <c r="B176" s="18" t="inlineStr">
        <is>
          <t>V68</t>
        </is>
      </c>
      <c r="C176" s="4" t="inlineStr">
        <is>
          <t>UPCOM</t>
        </is>
      </c>
      <c r="D176" s="6" t="inlineStr">
        <is>
          <t>CTCP Đầu tư Sản xuất và Thương mại Tuấn Anh</t>
        </is>
      </c>
      <c r="E176" s="6" t="inlineStr">
        <is>
          <t>Hóa chất</t>
        </is>
      </c>
      <c r="F176" s="6" t="inlineStr">
        <is>
          <t>Nguyên vật liệu</t>
        </is>
      </c>
      <c r="G176" s="4" t="inlineStr">
        <is>
          <t>Thành viên</t>
        </is>
      </c>
      <c r="H176" s="8" t="n">
        <v>70785</v>
      </c>
      <c r="I176" s="9" t="n">
        <v>26900</v>
      </c>
      <c r="J176" s="19" t="inlineStr">
        <is>
          <t>Chưa chia / Khác</t>
        </is>
      </c>
      <c r="K176" s="4" t="inlineStr">
        <is>
          <t>Không</t>
        </is>
      </c>
      <c r="L176" s="4" t="inlineStr">
        <is>
          <t>Không</t>
        </is>
      </c>
      <c r="M176" s="6" t="inlineStr">
        <is>
          <t>-</t>
        </is>
      </c>
      <c r="N176" s="6" t="inlineStr">
        <is>
          <t>-</t>
        </is>
      </c>
      <c r="O176" s="6" t="inlineStr">
        <is>
          <t>Chưa có lịch sử chia cổ tức</t>
        </is>
      </c>
    </row>
    <row r="177" ht="22" customHeight="1">
      <c r="A177" s="13" t="n">
        <v>174</v>
      </c>
      <c r="B177" s="20" t="inlineStr">
        <is>
          <t>QBS</t>
        </is>
      </c>
      <c r="C177" s="13" t="inlineStr">
        <is>
          <t>UPCOM</t>
        </is>
      </c>
      <c r="D177" s="14" t="inlineStr">
        <is>
          <t>CTCP Xuất nhập khẩu Quảng Bình</t>
        </is>
      </c>
      <c r="E177" s="14" t="inlineStr">
        <is>
          <t>Hóa chất</t>
        </is>
      </c>
      <c r="F177" s="14" t="inlineStr">
        <is>
          <t>Nguyên vật liệu</t>
        </is>
      </c>
      <c r="G177" s="13" t="inlineStr">
        <is>
          <t>Thành viên</t>
        </is>
      </c>
      <c r="H177" s="15" t="n">
        <v>61028.57142857143</v>
      </c>
      <c r="I177" s="16" t="n">
        <v>500</v>
      </c>
      <c r="J177" s="21" t="inlineStr">
        <is>
          <t>Cổ tức cổ phiếu</t>
        </is>
      </c>
      <c r="K177" s="13" t="inlineStr">
        <is>
          <t>Có</t>
        </is>
      </c>
      <c r="L177" s="12" t="inlineStr">
        <is>
          <t>Có</t>
        </is>
      </c>
      <c r="M177" s="14" t="inlineStr">
        <is>
          <t>2016, 2015</t>
        </is>
      </c>
      <c r="N177" s="14" t="inlineStr">
        <is>
          <t>2015</t>
        </is>
      </c>
      <c r="O177" s="14" t="inlineStr">
        <is>
          <t>Tiền mặt (2016, 2015); Cổ tức CP (2015)</t>
        </is>
      </c>
    </row>
    <row r="178" ht="22" customHeight="1">
      <c r="A178" s="4" t="n">
        <v>175</v>
      </c>
      <c r="B178" s="18" t="inlineStr">
        <is>
          <t>DHB</t>
        </is>
      </c>
      <c r="C178" s="4" t="inlineStr">
        <is>
          <t>UPCOM</t>
        </is>
      </c>
      <c r="D178" s="6" t="inlineStr">
        <is>
          <t>CTCP Phân đạm và Hóa chất Hà Bắc</t>
        </is>
      </c>
      <c r="E178" s="6" t="inlineStr">
        <is>
          <t>Hóa chất</t>
        </is>
      </c>
      <c r="F178" s="6" t="inlineStr">
        <is>
          <t>Nguyên vật liệu</t>
        </is>
      </c>
      <c r="G178" s="4" t="inlineStr">
        <is>
          <t>Thành viên</t>
        </is>
      </c>
      <c r="H178" s="8" t="n">
        <v>56335</v>
      </c>
      <c r="I178" s="9" t="n">
        <v>11700</v>
      </c>
      <c r="J178" s="19" t="inlineStr">
        <is>
          <t>Chưa chia / Khác</t>
        </is>
      </c>
      <c r="K178" s="4" t="inlineStr">
        <is>
          <t>Không</t>
        </is>
      </c>
      <c r="L178" s="4" t="inlineStr">
        <is>
          <t>Không</t>
        </is>
      </c>
      <c r="M178" s="6" t="inlineStr">
        <is>
          <t>-</t>
        </is>
      </c>
      <c r="N178" s="6" t="inlineStr">
        <is>
          <t>-</t>
        </is>
      </c>
      <c r="O178" s="6" t="inlineStr">
        <is>
          <t>Chưa có lịch sử chia cổ tức</t>
        </is>
      </c>
    </row>
    <row r="179" ht="22" customHeight="1">
      <c r="A179" s="13" t="n">
        <v>176</v>
      </c>
      <c r="B179" s="5" t="inlineStr">
        <is>
          <t>SHB</t>
        </is>
      </c>
      <c r="C179" s="13" t="inlineStr">
        <is>
          <t>HOSE</t>
        </is>
      </c>
      <c r="D179" s="14" t="inlineStr">
        <is>
          <t>Ngân hàng TMCP Sài Gòn - Hà Nội</t>
        </is>
      </c>
      <c r="E179" s="14" t="inlineStr">
        <is>
          <t>Ngân hàng</t>
        </is>
      </c>
      <c r="F179" s="14" t="inlineStr">
        <is>
          <t>Ngân hàng</t>
        </is>
      </c>
      <c r="G179" s="7" t="inlineStr">
        <is>
          <t>⭐ Đầu ngành</t>
        </is>
      </c>
      <c r="H179" s="15" t="n">
        <v>46761180.4</v>
      </c>
      <c r="I179" s="16" t="n">
        <v>11800</v>
      </c>
      <c r="J179" s="17" t="inlineStr">
        <is>
          <t>Cả tiền mặt &amp; cổ phiếu</t>
        </is>
      </c>
      <c r="K179" s="11" t="inlineStr">
        <is>
          <t>Hàng năm</t>
        </is>
      </c>
      <c r="L179" s="12" t="inlineStr">
        <is>
          <t>Có</t>
        </is>
      </c>
      <c r="M179" s="14" t="inlineStr">
        <is>
          <t>2025, 2024, 2014, 2010, 2009</t>
        </is>
      </c>
      <c r="N179" s="14" t="inlineStr">
        <is>
          <t>2025, 2023, 2022, 2021, 2020, 2018, 2016, 2015</t>
        </is>
      </c>
      <c r="O179" s="14" t="inlineStr">
        <is>
          <t>Tiền mặt hàng năm (2025, 2024, 2014, 2010, 2009); Cổ tức CP (2025, 2023, 2022, 2021, 2020, 2018, 2016, 2015)</t>
        </is>
      </c>
    </row>
    <row r="180" ht="22" customHeight="1">
      <c r="A180" s="4" t="n">
        <v>177</v>
      </c>
      <c r="B180" s="5" t="inlineStr">
        <is>
          <t>VPB</t>
        </is>
      </c>
      <c r="C180" s="4" t="inlineStr">
        <is>
          <t>HOSE</t>
        </is>
      </c>
      <c r="D180" s="6" t="inlineStr">
        <is>
          <t>Ngân hàng TMCP Việt Nam Thịnh Vượng</t>
        </is>
      </c>
      <c r="E180" s="6" t="inlineStr">
        <is>
          <t>Ngân hàng</t>
        </is>
      </c>
      <c r="F180" s="6" t="inlineStr">
        <is>
          <t>Ngân hàng</t>
        </is>
      </c>
      <c r="G180" s="7" t="inlineStr">
        <is>
          <t>⭐ Đầu ngành</t>
        </is>
      </c>
      <c r="H180" s="8" t="n">
        <v>20464660</v>
      </c>
      <c r="I180" s="9" t="n">
        <v>27450</v>
      </c>
      <c r="J180" s="10" t="inlineStr">
        <is>
          <t>Cả tiền mặt &amp; cổ phiếu</t>
        </is>
      </c>
      <c r="K180" s="11" t="inlineStr">
        <is>
          <t>Hàng năm</t>
        </is>
      </c>
      <c r="L180" s="12" t="inlineStr">
        <is>
          <t>Có</t>
        </is>
      </c>
      <c r="M180" s="6" t="inlineStr">
        <is>
          <t>2026, 2025, 2024, 2023</t>
        </is>
      </c>
      <c r="N180" s="6" t="inlineStr">
        <is>
          <t>2022, 2021, 2018, 2017, 2016, 2015, 2014</t>
        </is>
      </c>
      <c r="O180" s="6" t="inlineStr">
        <is>
          <t>Tiền mặt hàng năm (2026, 2025, 2024, 2023); Cổ tức CP (2022, 2021, 2018, 2017, 2016, 2015, 2014)</t>
        </is>
      </c>
    </row>
    <row r="181" ht="22" customHeight="1">
      <c r="A181" s="13" t="n">
        <v>178</v>
      </c>
      <c r="B181" s="5" t="inlineStr">
        <is>
          <t>TCB</t>
        </is>
      </c>
      <c r="C181" s="13" t="inlineStr">
        <is>
          <t>HOSE</t>
        </is>
      </c>
      <c r="D181" s="14" t="inlineStr">
        <is>
          <t>Ngân hàng TMCP Kỹ thương Việt Nam</t>
        </is>
      </c>
      <c r="E181" s="14" t="inlineStr">
        <is>
          <t>Ngân hàng</t>
        </is>
      </c>
      <c r="F181" s="14" t="inlineStr">
        <is>
          <t>Ngân hàng</t>
        </is>
      </c>
      <c r="G181" s="7" t="inlineStr">
        <is>
          <t>⭐ Đầu ngành</t>
        </is>
      </c>
      <c r="H181" s="15" t="n">
        <v>14780900</v>
      </c>
      <c r="I181" s="16" t="n">
        <v>31600</v>
      </c>
      <c r="J181" s="17" t="inlineStr">
        <is>
          <t>Cả tiền mặt &amp; cổ phiếu</t>
        </is>
      </c>
      <c r="K181" s="11" t="inlineStr">
        <is>
          <t>Hàng năm</t>
        </is>
      </c>
      <c r="L181" s="12" t="inlineStr">
        <is>
          <t>Có</t>
        </is>
      </c>
      <c r="M181" s="14" t="inlineStr">
        <is>
          <t>2026, 2025, 2024</t>
        </is>
      </c>
      <c r="N181" s="14" t="inlineStr">
        <is>
          <t>2024, 2018</t>
        </is>
      </c>
      <c r="O181" s="14" t="inlineStr">
        <is>
          <t>Tiền mặt hàng năm (2026, 2025, 2024); Cổ tức CP (2024, 2018)</t>
        </is>
      </c>
    </row>
    <row r="182" ht="22" customHeight="1">
      <c r="A182" s="4" t="n">
        <v>179</v>
      </c>
      <c r="B182" s="5" t="inlineStr">
        <is>
          <t>MBB</t>
        </is>
      </c>
      <c r="C182" s="4" t="inlineStr">
        <is>
          <t>HOSE</t>
        </is>
      </c>
      <c r="D182" s="6" t="inlineStr">
        <is>
          <t>Ngân hàng TMCP Quân đội</t>
        </is>
      </c>
      <c r="E182" s="6" t="inlineStr">
        <is>
          <t>Ngân hàng</t>
        </is>
      </c>
      <c r="F182" s="6" t="inlineStr">
        <is>
          <t>Ngân hàng</t>
        </is>
      </c>
      <c r="G182" s="7" t="inlineStr">
        <is>
          <t>⭐ Đầu ngành</t>
        </is>
      </c>
      <c r="H182" s="8" t="n">
        <v>12110075</v>
      </c>
      <c r="I182" s="9" t="n">
        <v>19900</v>
      </c>
      <c r="J182" s="10" t="inlineStr">
        <is>
          <t>Cả tiền mặt &amp; cổ phiếu</t>
        </is>
      </c>
      <c r="K182" s="11" t="inlineStr">
        <is>
          <t>Hàng năm</t>
        </is>
      </c>
      <c r="L182" s="12" t="inlineStr">
        <is>
          <t>Có</t>
        </is>
      </c>
      <c r="M182" s="6" t="inlineStr">
        <is>
          <t>2026, 2025, 2024, 2023, 2019, 2018, 2017, 2015</t>
        </is>
      </c>
      <c r="N182" s="6" t="inlineStr">
        <is>
          <t>2026, 2025, 2023, 2022, 2021, 2020, 2019, 2018</t>
        </is>
      </c>
      <c r="O182" s="6" t="inlineStr">
        <is>
          <t>Tiền mặt hàng năm (2026, 2025, 2024, 2023, 2019, 2018, 2017, 2015); Cổ tức CP (2026, 2025, 2023, 2022, 2021, 2020, 2019, 2018)</t>
        </is>
      </c>
    </row>
    <row r="183" ht="22" customHeight="1">
      <c r="A183" s="13" t="n">
        <v>180</v>
      </c>
      <c r="B183" s="5" t="inlineStr">
        <is>
          <t>HDB</t>
        </is>
      </c>
      <c r="C183" s="13" t="inlineStr">
        <is>
          <t>HOSE</t>
        </is>
      </c>
      <c r="D183" s="14" t="inlineStr">
        <is>
          <t>Ngân hàng TMCP Phát triển Thành phố Hồ Chí Minh</t>
        </is>
      </c>
      <c r="E183" s="14" t="inlineStr">
        <is>
          <t>Ngân hàng</t>
        </is>
      </c>
      <c r="F183" s="14" t="inlineStr">
        <is>
          <t>Ngân hàng</t>
        </is>
      </c>
      <c r="G183" s="7" t="inlineStr">
        <is>
          <t>⭐ Đầu ngành</t>
        </is>
      </c>
      <c r="H183" s="15" t="n">
        <v>10979560</v>
      </c>
      <c r="I183" s="16" t="n">
        <v>27500</v>
      </c>
      <c r="J183" s="17" t="inlineStr">
        <is>
          <t>Cả tiền mặt &amp; cổ phiếu</t>
        </is>
      </c>
      <c r="K183" s="11" t="inlineStr">
        <is>
          <t>Hàng năm</t>
        </is>
      </c>
      <c r="L183" s="12" t="inlineStr">
        <is>
          <t>Có</t>
        </is>
      </c>
      <c r="M183" s="14" t="inlineStr">
        <is>
          <t>2024, 2023, 2018, 2013</t>
        </is>
      </c>
      <c r="N183" s="14" t="inlineStr">
        <is>
          <t>2025, 2024, 2023, 2022, 2021, 2020</t>
        </is>
      </c>
      <c r="O183" s="14" t="inlineStr">
        <is>
          <t>Tiền mặt hàng năm (2024, 2023, 2018, 2013); Cổ tức CP (2025, 2024, 2023, 2022, 2021, 2020)</t>
        </is>
      </c>
    </row>
    <row r="184" ht="22" customHeight="1">
      <c r="A184" s="4" t="n">
        <v>181</v>
      </c>
      <c r="B184" s="5" t="inlineStr">
        <is>
          <t>CTG</t>
        </is>
      </c>
      <c r="C184" s="4" t="inlineStr">
        <is>
          <t>HOSE</t>
        </is>
      </c>
      <c r="D184" s="6" t="inlineStr">
        <is>
          <t>Ngân hàng TMCP Công Thương Việt Nam</t>
        </is>
      </c>
      <c r="E184" s="6" t="inlineStr">
        <is>
          <t>Ngân hàng</t>
        </is>
      </c>
      <c r="F184" s="6" t="inlineStr">
        <is>
          <t>Ngân hàng</t>
        </is>
      </c>
      <c r="G184" s="7" t="inlineStr">
        <is>
          <t>⭐ Đầu ngành</t>
        </is>
      </c>
      <c r="H184" s="8" t="n">
        <v>7542790</v>
      </c>
      <c r="I184" s="9" t="n">
        <v>30250</v>
      </c>
      <c r="J184" s="10" t="inlineStr">
        <is>
          <t>Cả tiền mặt &amp; cổ phiếu</t>
        </is>
      </c>
      <c r="K184" s="11" t="inlineStr">
        <is>
          <t>Hàng năm</t>
        </is>
      </c>
      <c r="L184" s="12" t="inlineStr">
        <is>
          <t>Có</t>
        </is>
      </c>
      <c r="M184" s="6" t="inlineStr">
        <is>
          <t>2026, 2025, 2021, 2020, 2017, 2015, 2014, 2013</t>
        </is>
      </c>
      <c r="N184" s="6" t="inlineStr">
        <is>
          <t>2025, 2023, 2021, 2012</t>
        </is>
      </c>
      <c r="O184" s="6" t="inlineStr">
        <is>
          <t>Tiền mặt hàng năm (2026, 2025, 2021, 2020, 2017, 2015, 2014, 2013); Cổ tức CP (2025, 2023, 2021, 2012)</t>
        </is>
      </c>
    </row>
    <row r="185" ht="22" customHeight="1">
      <c r="A185" s="13" t="n">
        <v>182</v>
      </c>
      <c r="B185" s="5" t="inlineStr">
        <is>
          <t>ACB</t>
        </is>
      </c>
      <c r="C185" s="13" t="inlineStr">
        <is>
          <t>HOSE</t>
        </is>
      </c>
      <c r="D185" s="14" t="inlineStr">
        <is>
          <t>Ngân hàng TMCP Á Châu</t>
        </is>
      </c>
      <c r="E185" s="14" t="inlineStr">
        <is>
          <t>Ngân hàng</t>
        </is>
      </c>
      <c r="F185" s="14" t="inlineStr">
        <is>
          <t>Ngân hàng</t>
        </is>
      </c>
      <c r="G185" s="7" t="inlineStr">
        <is>
          <t>⭐ Đầu ngành</t>
        </is>
      </c>
      <c r="H185" s="15" t="n">
        <v>7304600</v>
      </c>
      <c r="I185" s="16" t="n">
        <v>21900</v>
      </c>
      <c r="J185" s="17" t="inlineStr">
        <is>
          <t>Cả tiền mặt &amp; cổ phiếu</t>
        </is>
      </c>
      <c r="K185" s="11" t="inlineStr">
        <is>
          <t>Hàng năm</t>
        </is>
      </c>
      <c r="L185" s="12" t="inlineStr">
        <is>
          <t>Có</t>
        </is>
      </c>
      <c r="M185" s="14" t="inlineStr">
        <is>
          <t>2026, 2025, 2024, 2023, 2015, 2014, 2012, 2011</t>
        </is>
      </c>
      <c r="N185" s="14" t="inlineStr">
        <is>
          <t>2026, 2025, 2024, 2023, 2022, 2021, 2020, 2019</t>
        </is>
      </c>
      <c r="O185" s="14" t="inlineStr">
        <is>
          <t>Tiền mặt hàng năm (2026, 2025, 2024, 2023, 2015, 2014, 2012, 2011); Cổ tức CP (2026, 2025, 2024, 2023, 2022, 2021, 2020, 2019)</t>
        </is>
      </c>
    </row>
    <row r="186" ht="22" customHeight="1">
      <c r="A186" s="4" t="n">
        <v>183</v>
      </c>
      <c r="B186" s="5" t="inlineStr">
        <is>
          <t>VCB</t>
        </is>
      </c>
      <c r="C186" s="4" t="inlineStr">
        <is>
          <t>HOSE</t>
        </is>
      </c>
      <c r="D186" s="6" t="inlineStr">
        <is>
          <t>Ngân hàng TMCP Ngoại thương Việt Nam</t>
        </is>
      </c>
      <c r="E186" s="6" t="inlineStr">
        <is>
          <t>Ngân hàng</t>
        </is>
      </c>
      <c r="F186" s="6" t="inlineStr">
        <is>
          <t>Ngân hàng</t>
        </is>
      </c>
      <c r="G186" s="7" t="inlineStr">
        <is>
          <t>⭐ Đầu ngành</t>
        </is>
      </c>
      <c r="H186" s="8" t="n">
        <v>5172850</v>
      </c>
      <c r="I186" s="9" t="n">
        <v>59900</v>
      </c>
      <c r="J186" s="10" t="inlineStr">
        <is>
          <t>Cả tiền mặt &amp; cổ phiếu</t>
        </is>
      </c>
      <c r="K186" s="11" t="inlineStr">
        <is>
          <t>Hàng năm</t>
        </is>
      </c>
      <c r="L186" s="12" t="inlineStr">
        <is>
          <t>Có</t>
        </is>
      </c>
      <c r="M186" s="6" t="inlineStr">
        <is>
          <t>2026, 2025, 2021, 2020, 2019, 2017, 2016, 2015</t>
        </is>
      </c>
      <c r="N186" s="6" t="inlineStr">
        <is>
          <t>2025, 2023, 2021, 2016, 2014</t>
        </is>
      </c>
      <c r="O186" s="6" t="inlineStr">
        <is>
          <t>Tiền mặt hàng năm (2026, 2025, 2021, 2020, 2019, 2017, 2016, 2015); Cổ tức CP (2025, 2023, 2021, 2016, 2014)</t>
        </is>
      </c>
    </row>
    <row r="187" ht="22" customHeight="1">
      <c r="A187" s="13" t="n">
        <v>184</v>
      </c>
      <c r="B187" s="5" t="inlineStr">
        <is>
          <t>BID</t>
        </is>
      </c>
      <c r="C187" s="13" t="inlineStr">
        <is>
          <t>HOSE</t>
        </is>
      </c>
      <c r="D187" s="14" t="inlineStr">
        <is>
          <t>Ngân hàng TMCP Đầu tư và Phát triển Việt Nam</t>
        </is>
      </c>
      <c r="E187" s="14" t="inlineStr">
        <is>
          <t>Ngân hàng</t>
        </is>
      </c>
      <c r="F187" s="14" t="inlineStr">
        <is>
          <t>Ngân hàng</t>
        </is>
      </c>
      <c r="G187" s="7" t="inlineStr">
        <is>
          <t>⭐ Đầu ngành</t>
        </is>
      </c>
      <c r="H187" s="15" t="n">
        <v>3709745</v>
      </c>
      <c r="I187" s="16" t="n">
        <v>35750</v>
      </c>
      <c r="J187" s="17" t="inlineStr">
        <is>
          <t>Cả tiền mặt &amp; cổ phiếu</t>
        </is>
      </c>
      <c r="K187" s="11" t="inlineStr">
        <is>
          <t>Hàng năm</t>
        </is>
      </c>
      <c r="L187" s="12" t="inlineStr">
        <is>
          <t>Có</t>
        </is>
      </c>
      <c r="M187" s="14" t="inlineStr">
        <is>
          <t>2026, 2025, 2021, 2020, 2019, 2017, 2016, 2015</t>
        </is>
      </c>
      <c r="N187" s="14" t="inlineStr">
        <is>
          <t>2026, 2024, 2023, 2021, 2015</t>
        </is>
      </c>
      <c r="O187" s="14" t="inlineStr">
        <is>
          <t>Tiền mặt hàng năm (2026, 2025, 2021, 2020, 2019, 2017, 2016, 2015); Cổ tức CP (2026, 2024, 2023, 2021, 2015)</t>
        </is>
      </c>
    </row>
    <row r="188" ht="22" customHeight="1">
      <c r="A188" s="4" t="n">
        <v>185</v>
      </c>
      <c r="B188" s="20" t="inlineStr">
        <is>
          <t>STB</t>
        </is>
      </c>
      <c r="C188" s="4" t="inlineStr">
        <is>
          <t>HOSE</t>
        </is>
      </c>
      <c r="D188" s="6" t="inlineStr">
        <is>
          <t>Ngân hàng TMCP Sài Gòn Tài Lộc</t>
        </is>
      </c>
      <c r="E188" s="6" t="inlineStr">
        <is>
          <t>Ngân hàng</t>
        </is>
      </c>
      <c r="F188" s="6" t="inlineStr">
        <is>
          <t>Ngân hàng</t>
        </is>
      </c>
      <c r="G188" s="7" t="inlineStr">
        <is>
          <t>⭐ Đầu ngành</t>
        </is>
      </c>
      <c r="H188" s="8" t="n">
        <v>3571900</v>
      </c>
      <c r="I188" s="9" t="n">
        <v>78200</v>
      </c>
      <c r="J188" s="24" t="inlineStr">
        <is>
          <t>Cổ tức cổ phiếu</t>
        </is>
      </c>
      <c r="K188" s="4" t="inlineStr">
        <is>
          <t>Có</t>
        </is>
      </c>
      <c r="L188" s="12" t="inlineStr">
        <is>
          <t>Có</t>
        </is>
      </c>
      <c r="M188" s="6" t="inlineStr">
        <is>
          <t>2013, 2011</t>
        </is>
      </c>
      <c r="N188" s="6" t="inlineStr">
        <is>
          <t>2015</t>
        </is>
      </c>
      <c r="O188" s="6" t="inlineStr">
        <is>
          <t>Tiền mặt (2013, 2011); Cổ tức CP (2015)</t>
        </is>
      </c>
    </row>
    <row r="189" ht="22" customHeight="1">
      <c r="A189" s="13" t="n">
        <v>186</v>
      </c>
      <c r="B189" s="5" t="inlineStr">
        <is>
          <t>TPB</t>
        </is>
      </c>
      <c r="C189" s="13" t="inlineStr">
        <is>
          <t>HOSE</t>
        </is>
      </c>
      <c r="D189" s="14" t="inlineStr">
        <is>
          <t>Ngân hàng TMCP Tiên Phong</t>
        </is>
      </c>
      <c r="E189" s="14" t="inlineStr">
        <is>
          <t>Ngân hàng</t>
        </is>
      </c>
      <c r="F189" s="14" t="inlineStr">
        <is>
          <t>Ngân hàng</t>
        </is>
      </c>
      <c r="G189" s="13" t="inlineStr">
        <is>
          <t>Thành viên</t>
        </is>
      </c>
      <c r="H189" s="15" t="n">
        <v>6868600</v>
      </c>
      <c r="I189" s="16" t="n">
        <v>14100</v>
      </c>
      <c r="J189" s="17" t="inlineStr">
        <is>
          <t>Cả tiền mặt &amp; cổ phiếu</t>
        </is>
      </c>
      <c r="K189" s="11" t="inlineStr">
        <is>
          <t>Hàng năm</t>
        </is>
      </c>
      <c r="L189" s="12" t="inlineStr">
        <is>
          <t>Có</t>
        </is>
      </c>
      <c r="M189" s="14" t="inlineStr">
        <is>
          <t>2025, 2024, 2023</t>
        </is>
      </c>
      <c r="N189" s="14" t="inlineStr">
        <is>
          <t>2025, 2024, 2023, 2021, 2020, 2018</t>
        </is>
      </c>
      <c r="O189" s="14" t="inlineStr">
        <is>
          <t>Tiền mặt hàng năm (2025, 2024, 2023); Cổ tức CP (2025, 2024, 2023, 2021, 2020, 2018)</t>
        </is>
      </c>
    </row>
    <row r="190" ht="22" customHeight="1">
      <c r="A190" s="4" t="n">
        <v>187</v>
      </c>
      <c r="B190" s="5" t="inlineStr">
        <is>
          <t>VIB</t>
        </is>
      </c>
      <c r="C190" s="4" t="inlineStr">
        <is>
          <t>HOSE</t>
        </is>
      </c>
      <c r="D190" s="6" t="inlineStr">
        <is>
          <t>Ngân hàng TMCP Quốc tế Việt Nam</t>
        </is>
      </c>
      <c r="E190" s="6" t="inlineStr">
        <is>
          <t>Ngân hàng</t>
        </is>
      </c>
      <c r="F190" s="6" t="inlineStr">
        <is>
          <t>Ngân hàng</t>
        </is>
      </c>
      <c r="G190" s="4" t="inlineStr">
        <is>
          <t>Thành viên</t>
        </is>
      </c>
      <c r="H190" s="8" t="n">
        <v>4838200</v>
      </c>
      <c r="I190" s="9" t="n">
        <v>13600</v>
      </c>
      <c r="J190" s="10" t="inlineStr">
        <is>
          <t>Cả tiền mặt &amp; cổ phiếu</t>
        </is>
      </c>
      <c r="K190" s="11" t="inlineStr">
        <is>
          <t>Hàng năm</t>
        </is>
      </c>
      <c r="L190" s="12" t="inlineStr">
        <is>
          <t>Có</t>
        </is>
      </c>
      <c r="M190" s="6" t="inlineStr">
        <is>
          <t>2026, 2025, 2024, 2023, 2019, 2018, 2017</t>
        </is>
      </c>
      <c r="N190" s="6" t="inlineStr">
        <is>
          <t>2026, 2025, 2024, 2023, 2022, 2021, 2020, 2019</t>
        </is>
      </c>
      <c r="O190" s="6" t="inlineStr">
        <is>
          <t>Tiền mặt hàng năm (2026, 2025, 2024, 2023, 2019, 2018, 2017); Cổ tức CP (2026, 2025, 2024, 2023, 2022, 2021, 2020, 2019)</t>
        </is>
      </c>
    </row>
    <row r="191" ht="22" customHeight="1">
      <c r="A191" s="13" t="n">
        <v>188</v>
      </c>
      <c r="B191" s="20" t="inlineStr">
        <is>
          <t>MSB</t>
        </is>
      </c>
      <c r="C191" s="13" t="inlineStr">
        <is>
          <t>HOSE</t>
        </is>
      </c>
      <c r="D191" s="14" t="inlineStr">
        <is>
          <t>Ngân hàng TMCP Hàng hải Việt Nam</t>
        </is>
      </c>
      <c r="E191" s="14" t="inlineStr">
        <is>
          <t>Ngân hàng</t>
        </is>
      </c>
      <c r="F191" s="14" t="inlineStr">
        <is>
          <t>Ngân hàng</t>
        </is>
      </c>
      <c r="G191" s="13" t="inlineStr">
        <is>
          <t>Thành viên</t>
        </is>
      </c>
      <c r="H191" s="15" t="n">
        <v>4518945</v>
      </c>
      <c r="I191" s="16" t="n">
        <v>12900</v>
      </c>
      <c r="J191" s="21" t="inlineStr">
        <is>
          <t>Cổ tức cổ phiếu</t>
        </is>
      </c>
      <c r="K191" s="13" t="inlineStr">
        <is>
          <t>Không</t>
        </is>
      </c>
      <c r="L191" s="12" t="inlineStr">
        <is>
          <t>Có</t>
        </is>
      </c>
      <c r="M191" s="14" t="inlineStr">
        <is>
          <t>-</t>
        </is>
      </c>
      <c r="N191" s="14" t="inlineStr">
        <is>
          <t>2026, 2025, 2024, 2022, 2021</t>
        </is>
      </c>
      <c r="O191" s="14" t="inlineStr">
        <is>
          <t>Cổ tức CP (2026, 2025, 2024, 2022, 2021)</t>
        </is>
      </c>
    </row>
    <row r="192" ht="22" customHeight="1">
      <c r="A192" s="4" t="n">
        <v>189</v>
      </c>
      <c r="B192" s="5" t="inlineStr">
        <is>
          <t>EIB</t>
        </is>
      </c>
      <c r="C192" s="4" t="inlineStr">
        <is>
          <t>HOSE</t>
        </is>
      </c>
      <c r="D192" s="6" t="inlineStr">
        <is>
          <t>Ngân hàng TMCP Xuất nhập khẩu Việt Nam</t>
        </is>
      </c>
      <c r="E192" s="6" t="inlineStr">
        <is>
          <t>Ngân hàng</t>
        </is>
      </c>
      <c r="F192" s="6" t="inlineStr">
        <is>
          <t>Ngân hàng</t>
        </is>
      </c>
      <c r="G192" s="4" t="inlineStr">
        <is>
          <t>Thành viên</t>
        </is>
      </c>
      <c r="H192" s="8" t="n">
        <v>4319070</v>
      </c>
      <c r="I192" s="9" t="n">
        <v>16400</v>
      </c>
      <c r="J192" s="10" t="inlineStr">
        <is>
          <t>Cả tiền mặt &amp; cổ phiếu</t>
        </is>
      </c>
      <c r="K192" s="11" t="inlineStr">
        <is>
          <t>Hàng năm</t>
        </is>
      </c>
      <c r="L192" s="12" t="inlineStr">
        <is>
          <t>Có</t>
        </is>
      </c>
      <c r="M192" s="6" t="inlineStr">
        <is>
          <t>2024, 2014, 2013, 2010</t>
        </is>
      </c>
      <c r="N192" s="6" t="inlineStr">
        <is>
          <t>2024, 2023, 2011</t>
        </is>
      </c>
      <c r="O192" s="6" t="inlineStr">
        <is>
          <t>Tiền mặt hàng năm (2024, 2014, 2013, 2010); Cổ tức CP (2024, 2023, 2011)</t>
        </is>
      </c>
    </row>
    <row r="193" ht="22" customHeight="1">
      <c r="A193" s="13" t="n">
        <v>190</v>
      </c>
      <c r="B193" s="20" t="inlineStr">
        <is>
          <t>SSB</t>
        </is>
      </c>
      <c r="C193" s="13" t="inlineStr">
        <is>
          <t>HOSE</t>
        </is>
      </c>
      <c r="D193" s="14" t="inlineStr">
        <is>
          <t>Ngân hàng TMCP Đông Nam Á</t>
        </is>
      </c>
      <c r="E193" s="14" t="inlineStr">
        <is>
          <t>Ngân hàng</t>
        </is>
      </c>
      <c r="F193" s="14" t="inlineStr">
        <is>
          <t>Ngân hàng</t>
        </is>
      </c>
      <c r="G193" s="13" t="inlineStr">
        <is>
          <t>Thành viên</t>
        </is>
      </c>
      <c r="H193" s="15" t="n">
        <v>3596090</v>
      </c>
      <c r="I193" s="16" t="n">
        <v>24100</v>
      </c>
      <c r="J193" s="21" t="inlineStr">
        <is>
          <t>Cổ tức cổ phiếu</t>
        </is>
      </c>
      <c r="K193" s="13" t="inlineStr">
        <is>
          <t>Không</t>
        </is>
      </c>
      <c r="L193" s="12" t="inlineStr">
        <is>
          <t>Có</t>
        </is>
      </c>
      <c r="M193" s="14" t="inlineStr">
        <is>
          <t>-</t>
        </is>
      </c>
      <c r="N193" s="14" t="inlineStr">
        <is>
          <t>2026, 2024, 2023, 2022, 2021</t>
        </is>
      </c>
      <c r="O193" s="14" t="inlineStr">
        <is>
          <t>Cổ tức CP (2026, 2024, 2023, 2022, 2021)</t>
        </is>
      </c>
    </row>
    <row r="194" ht="22" customHeight="1">
      <c r="A194" s="4" t="n">
        <v>191</v>
      </c>
      <c r="B194" s="5" t="inlineStr">
        <is>
          <t>LPB</t>
        </is>
      </c>
      <c r="C194" s="4" t="inlineStr">
        <is>
          <t>HOSE</t>
        </is>
      </c>
      <c r="D194" s="6" t="inlineStr">
        <is>
          <t>Ngân hàng TMCP Lộc Phát Việt Nam</t>
        </is>
      </c>
      <c r="E194" s="6" t="inlineStr">
        <is>
          <t>Ngân hàng</t>
        </is>
      </c>
      <c r="F194" s="6" t="inlineStr">
        <is>
          <t>Ngân hàng</t>
        </is>
      </c>
      <c r="G194" s="4" t="inlineStr">
        <is>
          <t>Thành viên</t>
        </is>
      </c>
      <c r="H194" s="8" t="n">
        <v>2615790</v>
      </c>
      <c r="I194" s="9" t="n">
        <v>48000</v>
      </c>
      <c r="J194" s="10" t="inlineStr">
        <is>
          <t>Cả tiền mặt &amp; cổ phiếu</t>
        </is>
      </c>
      <c r="K194" s="11" t="inlineStr">
        <is>
          <t>Hàng năm</t>
        </is>
      </c>
      <c r="L194" s="12" t="inlineStr">
        <is>
          <t>Có</t>
        </is>
      </c>
      <c r="M194" s="6" t="inlineStr">
        <is>
          <t>2026, 2025, 2018, 2016</t>
        </is>
      </c>
      <c r="N194" s="6" t="inlineStr">
        <is>
          <t>2024, 2023, 2022, 2021, 2020, 2018, 2017</t>
        </is>
      </c>
      <c r="O194" s="6" t="inlineStr">
        <is>
          <t>Tiền mặt hàng năm (2026, 2025, 2018, 2016); Cổ tức CP (2024, 2023, 2022, 2021, 2020, 2018, 2017)</t>
        </is>
      </c>
    </row>
    <row r="195" ht="22" customHeight="1">
      <c r="A195" s="13" t="n">
        <v>192</v>
      </c>
      <c r="B195" s="20" t="inlineStr">
        <is>
          <t>OCB</t>
        </is>
      </c>
      <c r="C195" s="13" t="inlineStr">
        <is>
          <t>HOSE</t>
        </is>
      </c>
      <c r="D195" s="14" t="inlineStr">
        <is>
          <t>Ngân hàng TMCP Phương Đông</t>
        </is>
      </c>
      <c r="E195" s="14" t="inlineStr">
        <is>
          <t>Ngân hàng</t>
        </is>
      </c>
      <c r="F195" s="14" t="inlineStr">
        <is>
          <t>Ngân hàng</t>
        </is>
      </c>
      <c r="G195" s="13" t="inlineStr">
        <is>
          <t>Thành viên</t>
        </is>
      </c>
      <c r="H195" s="15" t="n">
        <v>2390625</v>
      </c>
      <c r="I195" s="16" t="n">
        <v>10500</v>
      </c>
      <c r="J195" s="21" t="inlineStr">
        <is>
          <t>Cổ tức cổ phiếu</t>
        </is>
      </c>
      <c r="K195" s="13" t="inlineStr">
        <is>
          <t>Có</t>
        </is>
      </c>
      <c r="L195" s="12" t="inlineStr">
        <is>
          <t>Có</t>
        </is>
      </c>
      <c r="M195" s="14" t="inlineStr">
        <is>
          <t>2025</t>
        </is>
      </c>
      <c r="N195" s="14" t="inlineStr">
        <is>
          <t>2026, 2025, 2024, 2023, 2021, 2017, 2016, 2014</t>
        </is>
      </c>
      <c r="O195" s="14" t="inlineStr">
        <is>
          <t>Tiền mặt (2025); Cổ tức CP (2026, 2025, 2024, 2023, 2021, 2017, 2016, 2014)</t>
        </is>
      </c>
    </row>
    <row r="196" ht="22" customHeight="1">
      <c r="A196" s="4" t="n">
        <v>193</v>
      </c>
      <c r="B196" s="20" t="inlineStr">
        <is>
          <t>NAB</t>
        </is>
      </c>
      <c r="C196" s="4" t="inlineStr">
        <is>
          <t>HOSE</t>
        </is>
      </c>
      <c r="D196" s="6" t="inlineStr">
        <is>
          <t>Ngân hàng TMCP Nam Á</t>
        </is>
      </c>
      <c r="E196" s="6" t="inlineStr">
        <is>
          <t>Ngân hàng</t>
        </is>
      </c>
      <c r="F196" s="6" t="inlineStr">
        <is>
          <t>Ngân hàng</t>
        </is>
      </c>
      <c r="G196" s="4" t="inlineStr">
        <is>
          <t>Thành viên</t>
        </is>
      </c>
      <c r="H196" s="8" t="n">
        <v>1405085</v>
      </c>
      <c r="I196" s="9" t="n">
        <v>12000</v>
      </c>
      <c r="J196" s="24" t="inlineStr">
        <is>
          <t>Cổ tức cổ phiếu</t>
        </is>
      </c>
      <c r="K196" s="4" t="inlineStr">
        <is>
          <t>Không</t>
        </is>
      </c>
      <c r="L196" s="12" t="inlineStr">
        <is>
          <t>Có</t>
        </is>
      </c>
      <c r="M196" s="6" t="inlineStr">
        <is>
          <t>-</t>
        </is>
      </c>
      <c r="N196" s="6" t="inlineStr">
        <is>
          <t>2026, 2025, 2024, 2023, 2022, 2021</t>
        </is>
      </c>
      <c r="O196" s="6" t="inlineStr">
        <is>
          <t>Cổ tức CP (2026, 2025, 2024, 2023, 2022, 2021)</t>
        </is>
      </c>
    </row>
    <row r="197" ht="22" customHeight="1">
      <c r="A197" s="13" t="n">
        <v>194</v>
      </c>
      <c r="B197" s="20" t="inlineStr">
        <is>
          <t>ABB</t>
        </is>
      </c>
      <c r="C197" s="13" t="inlineStr">
        <is>
          <t>UPCOM</t>
        </is>
      </c>
      <c r="D197" s="14" t="inlineStr">
        <is>
          <t>Ngân hàng TMCP An Bình</t>
        </is>
      </c>
      <c r="E197" s="14" t="inlineStr">
        <is>
          <t>Ngân hàng</t>
        </is>
      </c>
      <c r="F197" s="14" t="inlineStr">
        <is>
          <t>Ngân hàng</t>
        </is>
      </c>
      <c r="G197" s="13" t="inlineStr">
        <is>
          <t>Thành viên</t>
        </is>
      </c>
      <c r="H197" s="15" t="n">
        <v>913110</v>
      </c>
      <c r="I197" s="16" t="n">
        <v>17900</v>
      </c>
      <c r="J197" s="21" t="inlineStr">
        <is>
          <t>Cổ tức cổ phiếu</t>
        </is>
      </c>
      <c r="K197" s="13" t="inlineStr">
        <is>
          <t>Có</t>
        </is>
      </c>
      <c r="L197" s="12" t="inlineStr">
        <is>
          <t>Có</t>
        </is>
      </c>
      <c r="M197" s="14" t="inlineStr">
        <is>
          <t>2016, 2014</t>
        </is>
      </c>
      <c r="N197" s="14" t="inlineStr">
        <is>
          <t>2026, 2023, 2022, 2019, 2016</t>
        </is>
      </c>
      <c r="O197" s="14" t="inlineStr">
        <is>
          <t>Tiền mặt (2016, 2014); Cổ tức CP (2026, 2023, 2022, 2019, 2016)</t>
        </is>
      </c>
    </row>
    <row r="198" ht="22" customHeight="1">
      <c r="A198" s="4" t="n">
        <v>195</v>
      </c>
      <c r="B198" s="20" t="inlineStr">
        <is>
          <t>BVB</t>
        </is>
      </c>
      <c r="C198" s="4" t="inlineStr">
        <is>
          <t>HOSE</t>
        </is>
      </c>
      <c r="D198" s="6" t="inlineStr">
        <is>
          <t>Ngân hàng TMCP Bản Việt</t>
        </is>
      </c>
      <c r="E198" s="6" t="inlineStr">
        <is>
          <t>Ngân hàng</t>
        </is>
      </c>
      <c r="F198" s="6" t="inlineStr">
        <is>
          <t>Ngân hàng</t>
        </is>
      </c>
      <c r="G198" s="4" t="inlineStr">
        <is>
          <t>Thành viên</t>
        </is>
      </c>
      <c r="H198" s="8" t="n">
        <v>747835</v>
      </c>
      <c r="I198" s="9" t="n">
        <v>11750</v>
      </c>
      <c r="J198" s="24" t="inlineStr">
        <is>
          <t>Cổ tức cổ phiếu</t>
        </is>
      </c>
      <c r="K198" s="4" t="inlineStr">
        <is>
          <t>Không</t>
        </is>
      </c>
      <c r="L198" s="12" t="inlineStr">
        <is>
          <t>Có</t>
        </is>
      </c>
      <c r="M198" s="6" t="inlineStr">
        <is>
          <t>-</t>
        </is>
      </c>
      <c r="N198" s="6" t="inlineStr">
        <is>
          <t>2024, 2023</t>
        </is>
      </c>
      <c r="O198" s="6" t="inlineStr">
        <is>
          <t>Cổ tức CP (2024, 2023)</t>
        </is>
      </c>
    </row>
    <row r="199" ht="22" customHeight="1">
      <c r="A199" s="13" t="n">
        <v>196</v>
      </c>
      <c r="B199" s="25" t="inlineStr">
        <is>
          <t>NVB</t>
        </is>
      </c>
      <c r="C199" s="13" t="inlineStr">
        <is>
          <t>HNX</t>
        </is>
      </c>
      <c r="D199" s="14" t="inlineStr">
        <is>
          <t>Ngân hàng TMCP Quốc Dân</t>
        </is>
      </c>
      <c r="E199" s="14" t="inlineStr">
        <is>
          <t>Ngân hàng</t>
        </is>
      </c>
      <c r="F199" s="14" t="inlineStr">
        <is>
          <t>Ngân hàng</t>
        </is>
      </c>
      <c r="G199" s="13" t="inlineStr">
        <is>
          <t>Thành viên</t>
        </is>
      </c>
      <c r="H199" s="15" t="n">
        <v>540700</v>
      </c>
      <c r="I199" s="16" t="n">
        <v>12800</v>
      </c>
      <c r="J199" s="26" t="inlineStr">
        <is>
          <t>Tiền mặt không đều</t>
        </is>
      </c>
      <c r="K199" s="13" t="inlineStr">
        <is>
          <t>Có</t>
        </is>
      </c>
      <c r="L199" s="13" t="inlineStr">
        <is>
          <t>Không</t>
        </is>
      </c>
      <c r="M199" s="14" t="inlineStr">
        <is>
          <t>2010</t>
        </is>
      </c>
      <c r="N199" s="14" t="inlineStr">
        <is>
          <t>-</t>
        </is>
      </c>
      <c r="O199" s="14" t="inlineStr">
        <is>
          <t>Tiền mặt (2010)</t>
        </is>
      </c>
    </row>
    <row r="200" ht="22" customHeight="1">
      <c r="A200" s="4" t="n">
        <v>197</v>
      </c>
      <c r="B200" s="20" t="inlineStr">
        <is>
          <t>VAB</t>
        </is>
      </c>
      <c r="C200" s="4" t="inlineStr">
        <is>
          <t>HOSE</t>
        </is>
      </c>
      <c r="D200" s="6" t="inlineStr">
        <is>
          <t>Ngân hàng TMCP Việt Á</t>
        </is>
      </c>
      <c r="E200" s="6" t="inlineStr">
        <is>
          <t>Ngân hàng</t>
        </is>
      </c>
      <c r="F200" s="6" t="inlineStr">
        <is>
          <t>Ngân hàng</t>
        </is>
      </c>
      <c r="G200" s="4" t="inlineStr">
        <is>
          <t>Thành viên</t>
        </is>
      </c>
      <c r="H200" s="8" t="n">
        <v>502640</v>
      </c>
      <c r="I200" s="9" t="n">
        <v>9250</v>
      </c>
      <c r="J200" s="24" t="inlineStr">
        <is>
          <t>Cổ tức cổ phiếu</t>
        </is>
      </c>
      <c r="K200" s="4" t="inlineStr">
        <is>
          <t>Không</t>
        </is>
      </c>
      <c r="L200" s="12" t="inlineStr">
        <is>
          <t>Có</t>
        </is>
      </c>
      <c r="M200" s="6" t="inlineStr">
        <is>
          <t>-</t>
        </is>
      </c>
      <c r="N200" s="6" t="inlineStr">
        <is>
          <t>2026, 2025, 2022, 2015</t>
        </is>
      </c>
      <c r="O200" s="6" t="inlineStr">
        <is>
          <t>Cổ tức CP (2026, 2025, 2022, 2015)</t>
        </is>
      </c>
    </row>
    <row r="201" ht="22" customHeight="1">
      <c r="A201" s="13" t="n">
        <v>198</v>
      </c>
      <c r="B201" s="25" t="inlineStr">
        <is>
          <t>PCB</t>
        </is>
      </c>
      <c r="C201" s="13" t="inlineStr">
        <is>
          <t>UPCOM</t>
        </is>
      </c>
      <c r="D201" s="14" t="inlineStr">
        <is>
          <t>Ngân hàng TMCP Đại chúng Việt Nam</t>
        </is>
      </c>
      <c r="E201" s="14" t="inlineStr">
        <is>
          <t>Ngân hàng</t>
        </is>
      </c>
      <c r="F201" s="14" t="inlineStr">
        <is>
          <t>Ngân hàng</t>
        </is>
      </c>
      <c r="G201" s="13" t="inlineStr">
        <is>
          <t>Thành viên</t>
        </is>
      </c>
      <c r="H201" s="15" t="n">
        <v>312265</v>
      </c>
      <c r="I201" s="16" t="n">
        <v>9000</v>
      </c>
      <c r="J201" s="26" t="inlineStr">
        <is>
          <t>Chưa chia / Khác</t>
        </is>
      </c>
      <c r="K201" s="13" t="inlineStr">
        <is>
          <t>Không</t>
        </is>
      </c>
      <c r="L201" s="13" t="inlineStr">
        <is>
          <t>Không</t>
        </is>
      </c>
      <c r="M201" s="14" t="inlineStr">
        <is>
          <t>-</t>
        </is>
      </c>
      <c r="N201" s="14" t="inlineStr">
        <is>
          <t>-</t>
        </is>
      </c>
      <c r="O201" s="14" t="inlineStr">
        <is>
          <t>Chưa có lịch sử chia cổ tức</t>
        </is>
      </c>
    </row>
    <row r="202" ht="22" customHeight="1">
      <c r="A202" s="4" t="n">
        <v>199</v>
      </c>
      <c r="B202" s="20" t="inlineStr">
        <is>
          <t>KLB</t>
        </is>
      </c>
      <c r="C202" s="4" t="inlineStr">
        <is>
          <t>HOSE</t>
        </is>
      </c>
      <c r="D202" s="6" t="inlineStr">
        <is>
          <t>Ngân hàng TMCP Kiên Long</t>
        </is>
      </c>
      <c r="E202" s="6" t="inlineStr">
        <is>
          <t>Ngân hàng</t>
        </is>
      </c>
      <c r="F202" s="6" t="inlineStr">
        <is>
          <t>Ngân hàng</t>
        </is>
      </c>
      <c r="G202" s="4" t="inlineStr">
        <is>
          <t>Thành viên</t>
        </is>
      </c>
      <c r="H202" s="8" t="n">
        <v>288970</v>
      </c>
      <c r="I202" s="9" t="n">
        <v>12800</v>
      </c>
      <c r="J202" s="24" t="inlineStr">
        <is>
          <t>Cổ tức cổ phiếu</t>
        </is>
      </c>
      <c r="K202" s="4" t="inlineStr">
        <is>
          <t>Không</t>
        </is>
      </c>
      <c r="L202" s="12" t="inlineStr">
        <is>
          <t>Có</t>
        </is>
      </c>
      <c r="M202" s="6" t="inlineStr">
        <is>
          <t>-</t>
        </is>
      </c>
      <c r="N202" s="6" t="inlineStr">
        <is>
          <t>2026, 2025, 2021, 2018</t>
        </is>
      </c>
      <c r="O202" s="6" t="inlineStr">
        <is>
          <t>Cổ tức CP (2026, 2025, 2021, 2018)</t>
        </is>
      </c>
    </row>
    <row r="203" ht="22" customHeight="1">
      <c r="A203" s="13" t="n">
        <v>200</v>
      </c>
      <c r="B203" s="5" t="inlineStr">
        <is>
          <t>MSN</t>
        </is>
      </c>
      <c r="C203" s="13" t="inlineStr">
        <is>
          <t>HOSE</t>
        </is>
      </c>
      <c r="D203" s="14" t="inlineStr">
        <is>
          <t>CTCP Tập đoàn Masan</t>
        </is>
      </c>
      <c r="E203" s="14" t="inlineStr">
        <is>
          <t>Thực phẩm và đồ uống</t>
        </is>
      </c>
      <c r="F203" s="14" t="inlineStr">
        <is>
          <t>Hàng Tiêu dùng</t>
        </is>
      </c>
      <c r="G203" s="7" t="inlineStr">
        <is>
          <t>⭐ Đầu ngành</t>
        </is>
      </c>
      <c r="H203" s="15" t="n">
        <v>4208235</v>
      </c>
      <c r="I203" s="16" t="n">
        <v>68400</v>
      </c>
      <c r="J203" s="17" t="inlineStr">
        <is>
          <t>Cả tiền mặt &amp; cổ phiếu</t>
        </is>
      </c>
      <c r="K203" s="11" t="inlineStr">
        <is>
          <t>Hàng năm</t>
        </is>
      </c>
      <c r="L203" s="12" t="inlineStr">
        <is>
          <t>Có</t>
        </is>
      </c>
      <c r="M203" s="14" t="inlineStr">
        <is>
          <t>2022, 2021, 2020, 2017</t>
        </is>
      </c>
      <c r="N203" s="14" t="inlineStr">
        <is>
          <t>2022, 2017</t>
        </is>
      </c>
      <c r="O203" s="14" t="inlineStr">
        <is>
          <t>Tiền mặt hàng năm (2022, 2021, 2020, 2017); Cổ tức CP (2022, 2017)</t>
        </is>
      </c>
    </row>
    <row r="204" ht="22" customHeight="1">
      <c r="A204" s="4" t="n">
        <v>201</v>
      </c>
      <c r="B204" s="5" t="inlineStr">
        <is>
          <t>VNM</t>
        </is>
      </c>
      <c r="C204" s="4" t="inlineStr">
        <is>
          <t>HOSE</t>
        </is>
      </c>
      <c r="D204" s="6" t="inlineStr">
        <is>
          <t>CTCP Sữa Việt Nam</t>
        </is>
      </c>
      <c r="E204" s="6" t="inlineStr">
        <is>
          <t>Thực phẩm và đồ uống</t>
        </is>
      </c>
      <c r="F204" s="6" t="inlineStr">
        <is>
          <t>Hàng Tiêu dùng</t>
        </is>
      </c>
      <c r="G204" s="7" t="inlineStr">
        <is>
          <t>⭐ Đầu ngành</t>
        </is>
      </c>
      <c r="H204" s="8" t="n">
        <v>3067190</v>
      </c>
      <c r="I204" s="9" t="n">
        <v>61200</v>
      </c>
      <c r="J204" s="10" t="inlineStr">
        <is>
          <t>Cả tiền mặt &amp; cổ phiếu</t>
        </is>
      </c>
      <c r="K204" s="11" t="inlineStr">
        <is>
          <t>Hàng năm</t>
        </is>
      </c>
      <c r="L204" s="12" t="inlineStr">
        <is>
          <t>Có</t>
        </is>
      </c>
      <c r="M204" s="6" t="inlineStr">
        <is>
          <t>2026, 2025, 2024, 2023, 2022, 2021, 2020, 2019</t>
        </is>
      </c>
      <c r="N204" s="6" t="inlineStr">
        <is>
          <t>2020, 2018, 2016, 2015, 2014, 2012, 2011</t>
        </is>
      </c>
      <c r="O204" s="6" t="inlineStr">
        <is>
          <t>Tiền mặt hàng năm (2026, 2025, 2024, 2023, 2022, 2021, 2020, 2019); Cổ tức CP (2020, 2018, 2016, 2015, 2014, 2012, 2011)</t>
        </is>
      </c>
    </row>
    <row r="205" ht="22" customHeight="1">
      <c r="A205" s="13" t="n">
        <v>202</v>
      </c>
      <c r="B205" s="20" t="inlineStr">
        <is>
          <t>BAF</t>
        </is>
      </c>
      <c r="C205" s="13" t="inlineStr">
        <is>
          <t>HOSE</t>
        </is>
      </c>
      <c r="D205" s="14" t="inlineStr">
        <is>
          <t>CTCP Nông nghiệp BAF Việt Nam</t>
        </is>
      </c>
      <c r="E205" s="14" t="inlineStr">
        <is>
          <t>Thực phẩm và đồ uống</t>
        </is>
      </c>
      <c r="F205" s="14" t="inlineStr">
        <is>
          <t>Hàng Tiêu dùng</t>
        </is>
      </c>
      <c r="G205" s="7" t="inlineStr">
        <is>
          <t>⭐ Đầu ngành</t>
        </is>
      </c>
      <c r="H205" s="15" t="n">
        <v>1926725</v>
      </c>
      <c r="I205" s="16" t="n">
        <v>32050</v>
      </c>
      <c r="J205" s="21" t="inlineStr">
        <is>
          <t>Cổ tức cổ phiếu</t>
        </is>
      </c>
      <c r="K205" s="13" t="inlineStr">
        <is>
          <t>Có</t>
        </is>
      </c>
      <c r="L205" s="12" t="inlineStr">
        <is>
          <t>Có</t>
        </is>
      </c>
      <c r="M205" s="14" t="inlineStr">
        <is>
          <t>2022</t>
        </is>
      </c>
      <c r="N205" s="14" t="inlineStr">
        <is>
          <t>2026, 2024, 2022</t>
        </is>
      </c>
      <c r="O205" s="14" t="inlineStr">
        <is>
          <t>Tiền mặt (2022); Cổ tức CP (2026, 2024, 2022)</t>
        </is>
      </c>
    </row>
    <row r="206" ht="22" customHeight="1">
      <c r="A206" s="4" t="n">
        <v>203</v>
      </c>
      <c r="B206" s="5" t="inlineStr">
        <is>
          <t>DBC</t>
        </is>
      </c>
      <c r="C206" s="4" t="inlineStr">
        <is>
          <t>HOSE</t>
        </is>
      </c>
      <c r="D206" s="6" t="inlineStr">
        <is>
          <t>CTCP Tập đoàn Dabaco Việt Nam</t>
        </is>
      </c>
      <c r="E206" s="6" t="inlineStr">
        <is>
          <t>Thực phẩm và đồ uống</t>
        </is>
      </c>
      <c r="F206" s="6" t="inlineStr">
        <is>
          <t>Hàng Tiêu dùng</t>
        </is>
      </c>
      <c r="G206" s="7" t="inlineStr">
        <is>
          <t>⭐ Đầu ngành</t>
        </is>
      </c>
      <c r="H206" s="8" t="n">
        <v>1692050</v>
      </c>
      <c r="I206" s="9" t="n">
        <v>16050</v>
      </c>
      <c r="J206" s="10" t="inlineStr">
        <is>
          <t>Cả tiền mặt &amp; cổ phiếu</t>
        </is>
      </c>
      <c r="K206" s="11" t="inlineStr">
        <is>
          <t>Hàng năm</t>
        </is>
      </c>
      <c r="L206" s="12" t="inlineStr">
        <is>
          <t>Có</t>
        </is>
      </c>
      <c r="M206" s="6" t="inlineStr">
        <is>
          <t>2026, 2021, 2020, 2018, 2016, 2015, 2014, 2013</t>
        </is>
      </c>
      <c r="N206" s="6" t="inlineStr">
        <is>
          <t>2026, 2025, 2022, 2021, 2020, 2019, 2017, 2016</t>
        </is>
      </c>
      <c r="O206" s="6" t="inlineStr">
        <is>
          <t>Tiền mặt hàng năm (2026, 2021, 2020, 2018, 2016, 2015, 2014, 2013); Cổ tức CP (2026, 2025, 2022, 2021, 2020, 2019, 2017, 2016)</t>
        </is>
      </c>
    </row>
    <row r="207" ht="22" customHeight="1">
      <c r="A207" s="13" t="n">
        <v>204</v>
      </c>
      <c r="B207" s="20" t="inlineStr">
        <is>
          <t>HAG</t>
        </is>
      </c>
      <c r="C207" s="13" t="inlineStr">
        <is>
          <t>HOSE</t>
        </is>
      </c>
      <c r="D207" s="14" t="inlineStr">
        <is>
          <t>CTCP Hoàng Anh Gia Lai</t>
        </is>
      </c>
      <c r="E207" s="14" t="inlineStr">
        <is>
          <t>Thực phẩm và đồ uống</t>
        </is>
      </c>
      <c r="F207" s="14" t="inlineStr">
        <is>
          <t>Hàng Tiêu dùng</t>
        </is>
      </c>
      <c r="G207" s="7" t="inlineStr">
        <is>
          <t>⭐ Đầu ngành</t>
        </is>
      </c>
      <c r="H207" s="15" t="n">
        <v>1603465</v>
      </c>
      <c r="I207" s="16" t="n">
        <v>14050</v>
      </c>
      <c r="J207" s="21" t="inlineStr">
        <is>
          <t>Cổ tức cổ phiếu</t>
        </is>
      </c>
      <c r="K207" s="13" t="inlineStr">
        <is>
          <t>Có</t>
        </is>
      </c>
      <c r="L207" s="12" t="inlineStr">
        <is>
          <t>Có</t>
        </is>
      </c>
      <c r="M207" s="14" t="inlineStr">
        <is>
          <t>2013, 2009</t>
        </is>
      </c>
      <c r="N207" s="14" t="inlineStr">
        <is>
          <t>2014, 2012, 2009</t>
        </is>
      </c>
      <c r="O207" s="14" t="inlineStr">
        <is>
          <t>Tiền mặt (2013, 2009); Cổ tức CP (2014, 2012, 2009)</t>
        </is>
      </c>
    </row>
    <row r="208" ht="22" customHeight="1">
      <c r="A208" s="4" t="n">
        <v>205</v>
      </c>
      <c r="B208" s="5" t="inlineStr">
        <is>
          <t>SAB</t>
        </is>
      </c>
      <c r="C208" s="4" t="inlineStr">
        <is>
          <t>HOSE</t>
        </is>
      </c>
      <c r="D208" s="6" t="inlineStr">
        <is>
          <t>Tổng Công ty cổ phần Bia - Rượu - Nước giải khát Sài Gòn</t>
        </is>
      </c>
      <c r="E208" s="6" t="inlineStr">
        <is>
          <t>Thực phẩm và đồ uống</t>
        </is>
      </c>
      <c r="F208" s="6" t="inlineStr">
        <is>
          <t>Hàng Tiêu dùng</t>
        </is>
      </c>
      <c r="G208" s="7" t="inlineStr">
        <is>
          <t>⭐ Đầu ngành</t>
        </is>
      </c>
      <c r="H208" s="8" t="n">
        <v>583690</v>
      </c>
      <c r="I208" s="9" t="n">
        <v>44300</v>
      </c>
      <c r="J208" s="10" t="inlineStr">
        <is>
          <t>Cả tiền mặt &amp; cổ phiếu</t>
        </is>
      </c>
      <c r="K208" s="11" t="inlineStr">
        <is>
          <t>Hàng năm</t>
        </is>
      </c>
      <c r="L208" s="12" t="inlineStr">
        <is>
          <t>Có</t>
        </is>
      </c>
      <c r="M208" s="6" t="inlineStr">
        <is>
          <t>2026, 2025, 2024, 2023, 2022, 2021, 2020, 2019</t>
        </is>
      </c>
      <c r="N208" s="6" t="inlineStr">
        <is>
          <t>2023</t>
        </is>
      </c>
      <c r="O208" s="6" t="inlineStr">
        <is>
          <t>Tiền mặt hàng năm (2026, 2025, 2024, 2023, 2022, 2021, 2020, 2019); Cổ tức CP (2023)</t>
        </is>
      </c>
    </row>
    <row r="209" ht="22" customHeight="1">
      <c r="A209" s="13" t="n">
        <v>206</v>
      </c>
      <c r="B209" s="5" t="inlineStr">
        <is>
          <t>QNS</t>
        </is>
      </c>
      <c r="C209" s="13" t="inlineStr">
        <is>
          <t>UPCOM</t>
        </is>
      </c>
      <c r="D209" s="14" t="inlineStr">
        <is>
          <t>CTCP Đường Quảng Ngãi</t>
        </is>
      </c>
      <c r="E209" s="14" t="inlineStr">
        <is>
          <t>Thực phẩm và đồ uống</t>
        </is>
      </c>
      <c r="F209" s="14" t="inlineStr">
        <is>
          <t>Hàng Tiêu dùng</t>
        </is>
      </c>
      <c r="G209" s="7" t="inlineStr">
        <is>
          <t>⭐ Đầu ngành</t>
        </is>
      </c>
      <c r="H209" s="15" t="n">
        <v>286910</v>
      </c>
      <c r="I209" s="16" t="n">
        <v>49800</v>
      </c>
      <c r="J209" s="17" t="inlineStr">
        <is>
          <t>Cả tiền mặt &amp; cổ phiếu</t>
        </is>
      </c>
      <c r="K209" s="11" t="inlineStr">
        <is>
          <t>Hàng năm</t>
        </is>
      </c>
      <c r="L209" s="12" t="inlineStr">
        <is>
          <t>Có</t>
        </is>
      </c>
      <c r="M209" s="14" t="inlineStr">
        <is>
          <t>2026, 2025, 2024, 2023, 2022, 2021, 2020, 2019</t>
        </is>
      </c>
      <c r="N209" s="14" t="inlineStr">
        <is>
          <t>2019, 2018, 2017</t>
        </is>
      </c>
      <c r="O209" s="14" t="inlineStr">
        <is>
          <t>Tiền mặt hàng năm (2026, 2025, 2024, 2023, 2022, 2021, 2020, 2019); Cổ tức CP (2019, 2018, 2017)</t>
        </is>
      </c>
    </row>
    <row r="210" ht="22" customHeight="1">
      <c r="A210" s="4" t="n">
        <v>207</v>
      </c>
      <c r="B210" s="5" t="inlineStr">
        <is>
          <t>SBT</t>
        </is>
      </c>
      <c r="C210" s="4" t="inlineStr">
        <is>
          <t>HOSE</t>
        </is>
      </c>
      <c r="D210" s="6" t="inlineStr">
        <is>
          <t>CTCP Thành Thành Công - Biên Hòa</t>
        </is>
      </c>
      <c r="E210" s="6" t="inlineStr">
        <is>
          <t>Thực phẩm và đồ uống</t>
        </is>
      </c>
      <c r="F210" s="6" t="inlineStr">
        <is>
          <t>Hàng Tiêu dùng</t>
        </is>
      </c>
      <c r="G210" s="4" t="inlineStr">
        <is>
          <t>Thành viên</t>
        </is>
      </c>
      <c r="H210" s="8" t="n">
        <v>1247300</v>
      </c>
      <c r="I210" s="9" t="n">
        <v>23200</v>
      </c>
      <c r="J210" s="10" t="inlineStr">
        <is>
          <t>Cả tiền mặt &amp; cổ phiếu</t>
        </is>
      </c>
      <c r="K210" s="11" t="inlineStr">
        <is>
          <t>Hàng năm</t>
        </is>
      </c>
      <c r="L210" s="12" t="inlineStr">
        <is>
          <t>Có</t>
        </is>
      </c>
      <c r="M210" s="6" t="inlineStr">
        <is>
          <t>2020, 2019, 2018, 2015, 2014, 2013, 2011, 2010</t>
        </is>
      </c>
      <c r="N210" s="6" t="inlineStr">
        <is>
          <t>2026, 2025, 2023, 2022, 2021, 2019, 2016</t>
        </is>
      </c>
      <c r="O210" s="6" t="inlineStr">
        <is>
          <t>Tiền mặt hàng năm (2020, 2019, 2018, 2015, 2014, 2013, 2011, 2010); Cổ tức CP (2026, 2025, 2023, 2022, 2021, 2019, 2016)</t>
        </is>
      </c>
    </row>
    <row r="211" ht="22" customHeight="1">
      <c r="A211" s="13" t="n">
        <v>208</v>
      </c>
      <c r="B211" s="5" t="inlineStr">
        <is>
          <t>BNA</t>
        </is>
      </c>
      <c r="C211" s="13" t="inlineStr">
        <is>
          <t>HNX</t>
        </is>
      </c>
      <c r="D211" s="14" t="inlineStr">
        <is>
          <t>CTCP Tập đoàn Đầu tư Bảo Ngọc</t>
        </is>
      </c>
      <c r="E211" s="14" t="inlineStr">
        <is>
          <t>Thực phẩm và đồ uống</t>
        </is>
      </c>
      <c r="F211" s="14" t="inlineStr">
        <is>
          <t>Hàng Tiêu dùng</t>
        </is>
      </c>
      <c r="G211" s="13" t="inlineStr">
        <is>
          <t>Thành viên</t>
        </is>
      </c>
      <c r="H211" s="15" t="n">
        <v>879442.8571428572</v>
      </c>
      <c r="I211" s="16" t="n">
        <v>1900</v>
      </c>
      <c r="J211" s="17" t="inlineStr">
        <is>
          <t>Cả tiền mặt &amp; cổ phiếu</t>
        </is>
      </c>
      <c r="K211" s="11" t="inlineStr">
        <is>
          <t>Hàng năm</t>
        </is>
      </c>
      <c r="L211" s="12" t="inlineStr">
        <is>
          <t>Có</t>
        </is>
      </c>
      <c r="M211" s="14" t="inlineStr">
        <is>
          <t>2022, 2020</t>
        </is>
      </c>
      <c r="N211" s="14" t="inlineStr">
        <is>
          <t>2024, 2022, 2021</t>
        </is>
      </c>
      <c r="O211" s="14" t="inlineStr">
        <is>
          <t>Tiền mặt hàng năm (2022, 2020); Cổ tức CP (2024, 2022, 2021)</t>
        </is>
      </c>
    </row>
    <row r="212" ht="22" customHeight="1">
      <c r="A212" s="4" t="n">
        <v>209</v>
      </c>
      <c r="B212" s="18" t="inlineStr">
        <is>
          <t>HNG</t>
        </is>
      </c>
      <c r="C212" s="4" t="inlineStr">
        <is>
          <t>UPCOM</t>
        </is>
      </c>
      <c r="D212" s="6" t="inlineStr">
        <is>
          <t>CTCP Nông nghiệp Quốc tế Hoàng Anh Gia Lai</t>
        </is>
      </c>
      <c r="E212" s="6" t="inlineStr">
        <is>
          <t>Thực phẩm và đồ uống</t>
        </is>
      </c>
      <c r="F212" s="6" t="inlineStr">
        <is>
          <t>Hàng Tiêu dùng</t>
        </is>
      </c>
      <c r="G212" s="4" t="inlineStr">
        <is>
          <t>Thành viên</t>
        </is>
      </c>
      <c r="H212" s="8" t="n">
        <v>848065</v>
      </c>
      <c r="I212" s="9" t="n">
        <v>6200</v>
      </c>
      <c r="J212" s="19" t="inlineStr">
        <is>
          <t>Chưa chia / Khác</t>
        </is>
      </c>
      <c r="K212" s="4" t="inlineStr">
        <is>
          <t>Không</t>
        </is>
      </c>
      <c r="L212" s="4" t="inlineStr">
        <is>
          <t>Không</t>
        </is>
      </c>
      <c r="M212" s="6" t="inlineStr">
        <is>
          <t>-</t>
        </is>
      </c>
      <c r="N212" s="6" t="inlineStr">
        <is>
          <t>-</t>
        </is>
      </c>
      <c r="O212" s="6" t="inlineStr">
        <is>
          <t>Chưa có lịch sử chia cổ tức</t>
        </is>
      </c>
    </row>
    <row r="213" ht="22" customHeight="1">
      <c r="A213" s="13" t="n">
        <v>210</v>
      </c>
      <c r="B213" s="5" t="inlineStr">
        <is>
          <t>MCH</t>
        </is>
      </c>
      <c r="C213" s="13" t="inlineStr">
        <is>
          <t>HOSE</t>
        </is>
      </c>
      <c r="D213" s="14" t="inlineStr">
        <is>
          <t>CTCP Hàng tiêu dùng Masan</t>
        </is>
      </c>
      <c r="E213" s="14" t="inlineStr">
        <is>
          <t>Thực phẩm và đồ uống</t>
        </is>
      </c>
      <c r="F213" s="14" t="inlineStr">
        <is>
          <t>Hàng Tiêu dùng</t>
        </is>
      </c>
      <c r="G213" s="13" t="inlineStr">
        <is>
          <t>Thành viên</t>
        </is>
      </c>
      <c r="H213" s="15" t="n">
        <v>632235</v>
      </c>
      <c r="I213" s="16" t="n">
        <v>143000</v>
      </c>
      <c r="J213" s="17" t="inlineStr">
        <is>
          <t>Cả tiền mặt &amp; cổ phiếu</t>
        </is>
      </c>
      <c r="K213" s="11" t="inlineStr">
        <is>
          <t>Hàng năm</t>
        </is>
      </c>
      <c r="L213" s="12" t="inlineStr">
        <is>
          <t>Có</t>
        </is>
      </c>
      <c r="M213" s="14" t="inlineStr">
        <is>
          <t>2026, 2025, 2024, 2023, 2021, 2020, 2019, 2017</t>
        </is>
      </c>
      <c r="N213" s="14" t="inlineStr">
        <is>
          <t>2026, 2019, 2018</t>
        </is>
      </c>
      <c r="O213" s="14" t="inlineStr">
        <is>
          <t>Tiền mặt hàng năm (2026, 2025, 2024, 2023, 2021, 2020, 2019, 2017); Cổ tức CP (2026, 2019, 2018)</t>
        </is>
      </c>
    </row>
    <row r="214" ht="22" customHeight="1">
      <c r="A214" s="4" t="n">
        <v>211</v>
      </c>
      <c r="B214" s="5" t="inlineStr">
        <is>
          <t>TCO</t>
        </is>
      </c>
      <c r="C214" s="4" t="inlineStr">
        <is>
          <t>HOSE</t>
        </is>
      </c>
      <c r="D214" s="6" t="inlineStr">
        <is>
          <t>CTCP Janus Group</t>
        </is>
      </c>
      <c r="E214" s="6" t="inlineStr">
        <is>
          <t>Thực phẩm và đồ uống</t>
        </is>
      </c>
      <c r="F214" s="6" t="inlineStr">
        <is>
          <t>Hàng Tiêu dùng</t>
        </is>
      </c>
      <c r="G214" s="4" t="inlineStr">
        <is>
          <t>Thành viên</t>
        </is>
      </c>
      <c r="H214" s="8" t="n">
        <v>505290</v>
      </c>
      <c r="I214" s="9" t="n">
        <v>10700</v>
      </c>
      <c r="J214" s="10" t="inlineStr">
        <is>
          <t>Cả tiền mặt &amp; cổ phiếu</t>
        </is>
      </c>
      <c r="K214" s="11" t="inlineStr">
        <is>
          <t>Hàng năm</t>
        </is>
      </c>
      <c r="L214" s="12" t="inlineStr">
        <is>
          <t>Có</t>
        </is>
      </c>
      <c r="M214" s="6" t="inlineStr">
        <is>
          <t>2022, 2021, 2020, 2019, 2018, 2017, 2016, 2015</t>
        </is>
      </c>
      <c r="N214" s="6" t="inlineStr">
        <is>
          <t>2024, 2015</t>
        </is>
      </c>
      <c r="O214" s="6" t="inlineStr">
        <is>
          <t>Tiền mặt hàng năm (2022, 2021, 2020, 2019, 2018, 2017, 2016, 2015); Cổ tức CP (2024, 2015)</t>
        </is>
      </c>
    </row>
    <row r="215" ht="22" customHeight="1">
      <c r="A215" s="13" t="n">
        <v>212</v>
      </c>
      <c r="B215" s="20" t="inlineStr">
        <is>
          <t>BIG</t>
        </is>
      </c>
      <c r="C215" s="13" t="inlineStr">
        <is>
          <t>UPCOM</t>
        </is>
      </c>
      <c r="D215" s="14" t="inlineStr">
        <is>
          <t>CTCP Tập đoàn Đầu tư Big</t>
        </is>
      </c>
      <c r="E215" s="14" t="inlineStr">
        <is>
          <t>Thực phẩm và đồ uống</t>
        </is>
      </c>
      <c r="F215" s="14" t="inlineStr">
        <is>
          <t>Hàng Tiêu dùng</t>
        </is>
      </c>
      <c r="G215" s="13" t="inlineStr">
        <is>
          <t>Thành viên</t>
        </is>
      </c>
      <c r="H215" s="15" t="n">
        <v>464460</v>
      </c>
      <c r="I215" s="16" t="n">
        <v>5400</v>
      </c>
      <c r="J215" s="21" t="inlineStr">
        <is>
          <t>Cổ tức cổ phiếu</t>
        </is>
      </c>
      <c r="K215" s="13" t="inlineStr">
        <is>
          <t>Có</t>
        </is>
      </c>
      <c r="L215" s="12" t="inlineStr">
        <is>
          <t>Có</t>
        </is>
      </c>
      <c r="M215" s="14" t="inlineStr">
        <is>
          <t>2026</t>
        </is>
      </c>
      <c r="N215" s="14" t="inlineStr">
        <is>
          <t>2026, 2025, 2024</t>
        </is>
      </c>
      <c r="O215" s="14" t="inlineStr">
        <is>
          <t>Tiền mặt (2026); Cổ tức CP (2026, 2025, 2024)</t>
        </is>
      </c>
    </row>
    <row r="216" ht="22" customHeight="1">
      <c r="A216" s="4" t="n">
        <v>213</v>
      </c>
      <c r="B216" s="20" t="inlineStr">
        <is>
          <t>HSL</t>
        </is>
      </c>
      <c r="C216" s="4" t="inlineStr">
        <is>
          <t>HOSE</t>
        </is>
      </c>
      <c r="D216" s="6" t="inlineStr">
        <is>
          <t>CTCP Đầu tư Phát triển Thực phẩm Hồng Hà</t>
        </is>
      </c>
      <c r="E216" s="6" t="inlineStr">
        <is>
          <t>Thực phẩm và đồ uống</t>
        </is>
      </c>
      <c r="F216" s="6" t="inlineStr">
        <is>
          <t>Hàng Tiêu dùng</t>
        </is>
      </c>
      <c r="G216" s="4" t="inlineStr">
        <is>
          <t>Thành viên</t>
        </is>
      </c>
      <c r="H216" s="8" t="n">
        <v>463875</v>
      </c>
      <c r="I216" s="9" t="n">
        <v>9100</v>
      </c>
      <c r="J216" s="24" t="inlineStr">
        <is>
          <t>Cổ tức cổ phiếu</t>
        </is>
      </c>
      <c r="K216" s="4" t="inlineStr">
        <is>
          <t>Có</t>
        </is>
      </c>
      <c r="L216" s="12" t="inlineStr">
        <is>
          <t>Có</t>
        </is>
      </c>
      <c r="M216" s="6" t="inlineStr">
        <is>
          <t>2018</t>
        </is>
      </c>
      <c r="N216" s="6" t="inlineStr">
        <is>
          <t>2024, 2022, 2020, 2018</t>
        </is>
      </c>
      <c r="O216" s="6" t="inlineStr">
        <is>
          <t>Tiền mặt (2018); Cổ tức CP (2024, 2022, 2020, 2018)</t>
        </is>
      </c>
    </row>
    <row r="217" ht="22" customHeight="1">
      <c r="A217" s="13" t="n">
        <v>214</v>
      </c>
      <c r="B217" s="5" t="inlineStr">
        <is>
          <t>PAN</t>
        </is>
      </c>
      <c r="C217" s="13" t="inlineStr">
        <is>
          <t>HOSE</t>
        </is>
      </c>
      <c r="D217" s="14" t="inlineStr">
        <is>
          <t>CTCP Tập đoàn PAN</t>
        </is>
      </c>
      <c r="E217" s="14" t="inlineStr">
        <is>
          <t>Thực phẩm và đồ uống</t>
        </is>
      </c>
      <c r="F217" s="14" t="inlineStr">
        <is>
          <t>Hàng Tiêu dùng</t>
        </is>
      </c>
      <c r="G217" s="13" t="inlineStr">
        <is>
          <t>Thành viên</t>
        </is>
      </c>
      <c r="H217" s="15" t="n">
        <v>430600</v>
      </c>
      <c r="I217" s="16" t="n">
        <v>18600</v>
      </c>
      <c r="J217" s="17" t="inlineStr">
        <is>
          <t>Cả tiền mặt &amp; cổ phiếu</t>
        </is>
      </c>
      <c r="K217" s="11" t="inlineStr">
        <is>
          <t>Hàng năm</t>
        </is>
      </c>
      <c r="L217" s="12" t="inlineStr">
        <is>
          <t>Có</t>
        </is>
      </c>
      <c r="M217" s="14" t="inlineStr">
        <is>
          <t>2026, 2025, 2024, 2021, 2015, 2014, 2012</t>
        </is>
      </c>
      <c r="N217" s="14" t="inlineStr">
        <is>
          <t>2026, 2020, 2019, 2017, 2014</t>
        </is>
      </c>
      <c r="O217" s="14" t="inlineStr">
        <is>
          <t>Tiền mặt hàng năm (2026, 2025, 2024, 2021, 2015, 2014, 2012); Cổ tức CP (2026, 2020, 2019, 2017, 2014)</t>
        </is>
      </c>
    </row>
    <row r="218" ht="22" customHeight="1">
      <c r="A218" s="4" t="n">
        <v>215</v>
      </c>
      <c r="B218" s="5" t="inlineStr">
        <is>
          <t>ANV</t>
        </is>
      </c>
      <c r="C218" s="4" t="inlineStr">
        <is>
          <t>HOSE</t>
        </is>
      </c>
      <c r="D218" s="6" t="inlineStr">
        <is>
          <t>CTCP Nam Việt</t>
        </is>
      </c>
      <c r="E218" s="6" t="inlineStr">
        <is>
          <t>Thực phẩm và đồ uống</t>
        </is>
      </c>
      <c r="F218" s="6" t="inlineStr">
        <is>
          <t>Hàng Tiêu dùng</t>
        </is>
      </c>
      <c r="G218" s="4" t="inlineStr">
        <is>
          <t>Thành viên</t>
        </is>
      </c>
      <c r="H218" s="8" t="n">
        <v>424535</v>
      </c>
      <c r="I218" s="9" t="n">
        <v>16000</v>
      </c>
      <c r="J218" s="10" t="inlineStr">
        <is>
          <t>Cả tiền mặt &amp; cổ phiếu</t>
        </is>
      </c>
      <c r="K218" s="11" t="inlineStr">
        <is>
          <t>Hàng năm</t>
        </is>
      </c>
      <c r="L218" s="12" t="inlineStr">
        <is>
          <t>Có</t>
        </is>
      </c>
      <c r="M218" s="6" t="inlineStr">
        <is>
          <t>2025, 2024, 2023, 2022, 2021, 2020, 2019, 2018</t>
        </is>
      </c>
      <c r="N218" s="6" t="inlineStr">
        <is>
          <t>2024, 2017</t>
        </is>
      </c>
      <c r="O218" s="6" t="inlineStr">
        <is>
          <t>Tiền mặt hàng năm (2025, 2024, 2023, 2022, 2021, 2020, 2019, 2018); Cổ tức CP (2024, 2017)</t>
        </is>
      </c>
    </row>
    <row r="219" ht="22" customHeight="1">
      <c r="A219" s="13" t="n">
        <v>216</v>
      </c>
      <c r="B219" s="25" t="inlineStr">
        <is>
          <t>HNM</t>
        </is>
      </c>
      <c r="C219" s="13" t="inlineStr">
        <is>
          <t>UPCOM</t>
        </is>
      </c>
      <c r="D219" s="14" t="inlineStr">
        <is>
          <t>CTCP Sữa Hà Nội</t>
        </is>
      </c>
      <c r="E219" s="14" t="inlineStr">
        <is>
          <t>Thực phẩm và đồ uống</t>
        </is>
      </c>
      <c r="F219" s="14" t="inlineStr">
        <is>
          <t>Hàng Tiêu dùng</t>
        </is>
      </c>
      <c r="G219" s="13" t="inlineStr">
        <is>
          <t>Thành viên</t>
        </is>
      </c>
      <c r="H219" s="15" t="n">
        <v>412580</v>
      </c>
      <c r="I219" s="16" t="n">
        <v>8600</v>
      </c>
      <c r="J219" s="26" t="inlineStr">
        <is>
          <t>Tiền mặt không đều</t>
        </is>
      </c>
      <c r="K219" s="13" t="inlineStr">
        <is>
          <t>Có</t>
        </is>
      </c>
      <c r="L219" s="13" t="inlineStr">
        <is>
          <t>Không</t>
        </is>
      </c>
      <c r="M219" s="14" t="inlineStr">
        <is>
          <t>2025, 2015</t>
        </is>
      </c>
      <c r="N219" s="14" t="inlineStr">
        <is>
          <t>-</t>
        </is>
      </c>
      <c r="O219" s="14" t="inlineStr">
        <is>
          <t>Tiền mặt (2025, 2015)</t>
        </is>
      </c>
    </row>
    <row r="220" ht="22" customHeight="1">
      <c r="A220" s="4" t="n">
        <v>217</v>
      </c>
      <c r="B220" s="20" t="inlineStr">
        <is>
          <t>NAF</t>
        </is>
      </c>
      <c r="C220" s="4" t="inlineStr">
        <is>
          <t>HOSE</t>
        </is>
      </c>
      <c r="D220" s="6" t="inlineStr">
        <is>
          <t>CTCP Nafoods Group</t>
        </is>
      </c>
      <c r="E220" s="6" t="inlineStr">
        <is>
          <t>Thực phẩm và đồ uống</t>
        </is>
      </c>
      <c r="F220" s="6" t="inlineStr">
        <is>
          <t>Hàng Tiêu dùng</t>
        </is>
      </c>
      <c r="G220" s="4" t="inlineStr">
        <is>
          <t>Thành viên</t>
        </is>
      </c>
      <c r="H220" s="8" t="n">
        <v>393590</v>
      </c>
      <c r="I220" s="9" t="n">
        <v>48000</v>
      </c>
      <c r="J220" s="24" t="inlineStr">
        <is>
          <t>Cổ tức cổ phiếu</t>
        </is>
      </c>
      <c r="K220" s="4" t="inlineStr">
        <is>
          <t>Có</t>
        </is>
      </c>
      <c r="L220" s="12" t="inlineStr">
        <is>
          <t>Có</t>
        </is>
      </c>
      <c r="M220" s="6" t="inlineStr">
        <is>
          <t>2016</t>
        </is>
      </c>
      <c r="N220" s="6" t="inlineStr">
        <is>
          <t>2025, 2024, 2019, 2018</t>
        </is>
      </c>
      <c r="O220" s="6" t="inlineStr">
        <is>
          <t>Tiền mặt (2016); Cổ tức CP (2025, 2024, 2019, 2018)</t>
        </is>
      </c>
    </row>
    <row r="221" ht="22" customHeight="1">
      <c r="A221" s="13" t="n">
        <v>218</v>
      </c>
      <c r="B221" s="20" t="inlineStr">
        <is>
          <t>AAN</t>
        </is>
      </c>
      <c r="C221" s="13" t="inlineStr">
        <is>
          <t>HOSE</t>
        </is>
      </c>
      <c r="D221" s="14" t="inlineStr">
        <is>
          <t>CTCP Lương thực A An</t>
        </is>
      </c>
      <c r="E221" s="14" t="inlineStr">
        <is>
          <t>Thực phẩm và đồ uống</t>
        </is>
      </c>
      <c r="F221" s="14" t="inlineStr">
        <is>
          <t>Hàng Tiêu dùng</t>
        </is>
      </c>
      <c r="G221" s="13" t="inlineStr">
        <is>
          <t>Thành viên</t>
        </is>
      </c>
      <c r="H221" s="15" t="n">
        <v>308735</v>
      </c>
      <c r="I221" s="16" t="n">
        <v>16050</v>
      </c>
      <c r="J221" s="21" t="inlineStr">
        <is>
          <t>Cổ tức cổ phiếu</t>
        </is>
      </c>
      <c r="K221" s="13" t="inlineStr">
        <is>
          <t>Không</t>
        </is>
      </c>
      <c r="L221" s="12" t="inlineStr">
        <is>
          <t>Có</t>
        </is>
      </c>
      <c r="M221" s="14" t="inlineStr">
        <is>
          <t>-</t>
        </is>
      </c>
      <c r="N221" s="14" t="inlineStr">
        <is>
          <t>2026</t>
        </is>
      </c>
      <c r="O221" s="14" t="inlineStr">
        <is>
          <t>Cổ tức CP (2026)</t>
        </is>
      </c>
    </row>
    <row r="222" ht="22" customHeight="1">
      <c r="A222" s="4" t="n">
        <v>219</v>
      </c>
      <c r="B222" s="5" t="inlineStr">
        <is>
          <t>VHC</t>
        </is>
      </c>
      <c r="C222" s="4" t="inlineStr">
        <is>
          <t>HOSE</t>
        </is>
      </c>
      <c r="D222" s="6" t="inlineStr">
        <is>
          <t>CTCP Vĩnh Hoàn</t>
        </is>
      </c>
      <c r="E222" s="6" t="inlineStr">
        <is>
          <t>Thực phẩm và đồ uống</t>
        </is>
      </c>
      <c r="F222" s="6" t="inlineStr">
        <is>
          <t>Hàng Tiêu dùng</t>
        </is>
      </c>
      <c r="G222" s="4" t="inlineStr">
        <is>
          <t>Thành viên</t>
        </is>
      </c>
      <c r="H222" s="8" t="n">
        <v>287365</v>
      </c>
      <c r="I222" s="9" t="n">
        <v>50100</v>
      </c>
      <c r="J222" s="10" t="inlineStr">
        <is>
          <t>Cả tiền mặt &amp; cổ phiếu</t>
        </is>
      </c>
      <c r="K222" s="11" t="inlineStr">
        <is>
          <t>Hàng năm</t>
        </is>
      </c>
      <c r="L222" s="12" t="inlineStr">
        <is>
          <t>Có</t>
        </is>
      </c>
      <c r="M222" s="6" t="inlineStr">
        <is>
          <t>2025, 2024, 2022, 2021, 2020, 2019, 2018, 2016</t>
        </is>
      </c>
      <c r="N222" s="6" t="inlineStr">
        <is>
          <t>2024, 2019, 2014, 2013</t>
        </is>
      </c>
      <c r="O222" s="6" t="inlineStr">
        <is>
          <t>Tiền mặt hàng năm (2025, 2024, 2022, 2021, 2020, 2019, 2018, 2016); Cổ tức CP (2024, 2019, 2014, 2013)</t>
        </is>
      </c>
    </row>
    <row r="223" ht="22" customHeight="1">
      <c r="A223" s="13" t="n">
        <v>220</v>
      </c>
      <c r="B223" s="5" t="inlineStr">
        <is>
          <t>ASM</t>
        </is>
      </c>
      <c r="C223" s="13" t="inlineStr">
        <is>
          <t>HOSE</t>
        </is>
      </c>
      <c r="D223" s="14" t="inlineStr">
        <is>
          <t>CTCP Tập đoàn Sao Mai</t>
        </is>
      </c>
      <c r="E223" s="14" t="inlineStr">
        <is>
          <t>Thực phẩm và đồ uống</t>
        </is>
      </c>
      <c r="F223" s="14" t="inlineStr">
        <is>
          <t>Hàng Tiêu dùng</t>
        </is>
      </c>
      <c r="G223" s="13" t="inlineStr">
        <is>
          <t>Thành viên</t>
        </is>
      </c>
      <c r="H223" s="15" t="n">
        <v>205730</v>
      </c>
      <c r="I223" s="16" t="n">
        <v>5220</v>
      </c>
      <c r="J223" s="17" t="inlineStr">
        <is>
          <t>Cả tiền mặt &amp; cổ phiếu</t>
        </is>
      </c>
      <c r="K223" s="11" t="inlineStr">
        <is>
          <t>Hàng năm</t>
        </is>
      </c>
      <c r="L223" s="12" t="inlineStr">
        <is>
          <t>Có</t>
        </is>
      </c>
      <c r="M223" s="14" t="inlineStr">
        <is>
          <t>2022, 2019, 2014, 2010</t>
        </is>
      </c>
      <c r="N223" s="14" t="inlineStr">
        <is>
          <t>2025, 2024, 2022, 2017, 2015, 2014, 2013</t>
        </is>
      </c>
      <c r="O223" s="14" t="inlineStr">
        <is>
          <t>Tiền mặt hàng năm (2022, 2019, 2014, 2010); Cổ tức CP (2025, 2024, 2022, 2017, 2015, 2014, 2013)</t>
        </is>
      </c>
    </row>
    <row r="224" ht="22" customHeight="1">
      <c r="A224" s="4" t="n">
        <v>221</v>
      </c>
      <c r="B224" s="5" t="inlineStr">
        <is>
          <t>IDI</t>
        </is>
      </c>
      <c r="C224" s="4" t="inlineStr">
        <is>
          <t>HOSE</t>
        </is>
      </c>
      <c r="D224" s="6" t="inlineStr">
        <is>
          <t>CTCP Đầu tư và Phát triển Đa Quốc Gia - IDI</t>
        </is>
      </c>
      <c r="E224" s="6" t="inlineStr">
        <is>
          <t>Thực phẩm và đồ uống</t>
        </is>
      </c>
      <c r="F224" s="6" t="inlineStr">
        <is>
          <t>Hàng Tiêu dùng</t>
        </is>
      </c>
      <c r="G224" s="4" t="inlineStr">
        <is>
          <t>Thành viên</t>
        </is>
      </c>
      <c r="H224" s="8" t="n">
        <v>181215</v>
      </c>
      <c r="I224" s="9" t="n">
        <v>4750</v>
      </c>
      <c r="J224" s="10" t="inlineStr">
        <is>
          <t>Cả tiền mặt &amp; cổ phiếu</t>
        </is>
      </c>
      <c r="K224" s="11" t="inlineStr">
        <is>
          <t>Hàng năm</t>
        </is>
      </c>
      <c r="L224" s="12" t="inlineStr">
        <is>
          <t>Có</t>
        </is>
      </c>
      <c r="M224" s="6" t="inlineStr">
        <is>
          <t>2022, 2019, 2018, 2017, 2014</t>
        </is>
      </c>
      <c r="N224" s="6" t="inlineStr">
        <is>
          <t>2024, 2019, 2018, 2015</t>
        </is>
      </c>
      <c r="O224" s="6" t="inlineStr">
        <is>
          <t>Tiền mặt hàng năm (2022, 2019, 2018, 2017, 2014); Cổ tức CP (2024, 2019, 2018, 2015)</t>
        </is>
      </c>
    </row>
    <row r="225" ht="22" customHeight="1">
      <c r="A225" s="13" t="n">
        <v>222</v>
      </c>
      <c r="B225" s="20" t="inlineStr">
        <is>
          <t>CTP</t>
        </is>
      </c>
      <c r="C225" s="13" t="inlineStr">
        <is>
          <t>HNX</t>
        </is>
      </c>
      <c r="D225" s="14" t="inlineStr">
        <is>
          <t>CTCP Tập đoàn CTP Group</t>
        </is>
      </c>
      <c r="E225" s="14" t="inlineStr">
        <is>
          <t>Thực phẩm và đồ uống</t>
        </is>
      </c>
      <c r="F225" s="14" t="inlineStr">
        <is>
          <t>Hàng Tiêu dùng</t>
        </is>
      </c>
      <c r="G225" s="13" t="inlineStr">
        <is>
          <t>Thành viên</t>
        </is>
      </c>
      <c r="H225" s="15" t="n">
        <v>137130</v>
      </c>
      <c r="I225" s="16" t="n">
        <v>6400</v>
      </c>
      <c r="J225" s="21" t="inlineStr">
        <is>
          <t>Cổ tức cổ phiếu</t>
        </is>
      </c>
      <c r="K225" s="13" t="inlineStr">
        <is>
          <t>Có</t>
        </is>
      </c>
      <c r="L225" s="12" t="inlineStr">
        <is>
          <t>Có</t>
        </is>
      </c>
      <c r="M225" s="14" t="inlineStr">
        <is>
          <t>2017</t>
        </is>
      </c>
      <c r="N225" s="14" t="inlineStr">
        <is>
          <t>2018</t>
        </is>
      </c>
      <c r="O225" s="14" t="inlineStr">
        <is>
          <t>Tiền mặt (2017); Cổ tức CP (2018)</t>
        </is>
      </c>
    </row>
    <row r="226" ht="22" customHeight="1">
      <c r="A226" s="4" t="n">
        <v>223</v>
      </c>
      <c r="B226" s="5" t="inlineStr">
        <is>
          <t>KDC</t>
        </is>
      </c>
      <c r="C226" s="4" t="inlineStr">
        <is>
          <t>HOSE</t>
        </is>
      </c>
      <c r="D226" s="6" t="inlineStr">
        <is>
          <t>CTCP Tập đoàn KIDO</t>
        </is>
      </c>
      <c r="E226" s="6" t="inlineStr">
        <is>
          <t>Thực phẩm và đồ uống</t>
        </is>
      </c>
      <c r="F226" s="6" t="inlineStr">
        <is>
          <t>Hàng Tiêu dùng</t>
        </is>
      </c>
      <c r="G226" s="4" t="inlineStr">
        <is>
          <t>Thành viên</t>
        </is>
      </c>
      <c r="H226" s="8" t="n">
        <v>113640</v>
      </c>
      <c r="I226" s="9" t="n">
        <v>51100</v>
      </c>
      <c r="J226" s="10" t="inlineStr">
        <is>
          <t>Cả tiền mặt &amp; cổ phiếu</t>
        </is>
      </c>
      <c r="K226" s="11" t="inlineStr">
        <is>
          <t>Hàng năm</t>
        </is>
      </c>
      <c r="L226" s="12" t="inlineStr">
        <is>
          <t>Có</t>
        </is>
      </c>
      <c r="M226" s="6" t="inlineStr">
        <is>
          <t>2026, 2024, 2022, 2021, 2020, 2019, 2018, 2017</t>
        </is>
      </c>
      <c r="N226" s="6" t="inlineStr">
        <is>
          <t>2024, 2021, 2014, 2012</t>
        </is>
      </c>
      <c r="O226" s="6" t="inlineStr">
        <is>
          <t>Tiền mặt hàng năm (2026, 2024, 2022, 2021, 2020, 2019, 2018, 2017); Cổ tức CP (2024, 2021, 2014, 2012)</t>
        </is>
      </c>
    </row>
    <row r="227" ht="22" customHeight="1">
      <c r="A227" s="13" t="n">
        <v>224</v>
      </c>
      <c r="B227" s="25" t="inlineStr">
        <is>
          <t>HPA</t>
        </is>
      </c>
      <c r="C227" s="13" t="inlineStr">
        <is>
          <t>HOSE</t>
        </is>
      </c>
      <c r="D227" s="14" t="inlineStr">
        <is>
          <t>CTCP Phát triển Nông nghiệp Hòa Phát</t>
        </is>
      </c>
      <c r="E227" s="14" t="inlineStr">
        <is>
          <t>Thực phẩm và đồ uống</t>
        </is>
      </c>
      <c r="F227" s="14" t="inlineStr">
        <is>
          <t>Hàng Tiêu dùng</t>
        </is>
      </c>
      <c r="G227" s="13" t="inlineStr">
        <is>
          <t>Thành viên</t>
        </is>
      </c>
      <c r="H227" s="15" t="n">
        <v>101585</v>
      </c>
      <c r="I227" s="16" t="n">
        <v>27000</v>
      </c>
      <c r="J227" s="26" t="inlineStr">
        <is>
          <t>Tiền mặt không đều</t>
        </is>
      </c>
      <c r="K227" s="13" t="inlineStr">
        <is>
          <t>Có</t>
        </is>
      </c>
      <c r="L227" s="13" t="inlineStr">
        <is>
          <t>Không</t>
        </is>
      </c>
      <c r="M227" s="14" t="inlineStr">
        <is>
          <t>2026</t>
        </is>
      </c>
      <c r="N227" s="14" t="inlineStr">
        <is>
          <t>-</t>
        </is>
      </c>
      <c r="O227" s="14" t="inlineStr">
        <is>
          <t>Tiền mặt (2026)</t>
        </is>
      </c>
    </row>
    <row r="228" ht="22" customHeight="1">
      <c r="A228" s="4" t="n">
        <v>225</v>
      </c>
      <c r="B228" s="20" t="inlineStr">
        <is>
          <t>HKB</t>
        </is>
      </c>
      <c r="C228" s="4" t="inlineStr">
        <is>
          <t>UPCOM</t>
        </is>
      </c>
      <c r="D228" s="6" t="inlineStr">
        <is>
          <t>CTCP Nông nghiệp và Thực phẩm Hà Nội - Kinh Bắc</t>
        </is>
      </c>
      <c r="E228" s="6" t="inlineStr">
        <is>
          <t>Thực phẩm và đồ uống</t>
        </is>
      </c>
      <c r="F228" s="6" t="inlineStr">
        <is>
          <t>Hàng Tiêu dùng</t>
        </is>
      </c>
      <c r="G228" s="4" t="inlineStr">
        <is>
          <t>Thành viên</t>
        </is>
      </c>
      <c r="H228" s="8" t="n">
        <v>72842.85714285714</v>
      </c>
      <c r="I228" s="9" t="n">
        <v>400</v>
      </c>
      <c r="J228" s="24" t="inlineStr">
        <is>
          <t>Cổ tức cổ phiếu</t>
        </is>
      </c>
      <c r="K228" s="4" t="inlineStr">
        <is>
          <t>Không</t>
        </is>
      </c>
      <c r="L228" s="12" t="inlineStr">
        <is>
          <t>Có</t>
        </is>
      </c>
      <c r="M228" s="6" t="inlineStr">
        <is>
          <t>-</t>
        </is>
      </c>
      <c r="N228" s="6" t="inlineStr">
        <is>
          <t>2016</t>
        </is>
      </c>
      <c r="O228" s="6" t="inlineStr">
        <is>
          <t>Cổ tức CP (2016)</t>
        </is>
      </c>
    </row>
    <row r="229" ht="22" customHeight="1">
      <c r="A229" s="13" t="n">
        <v>226</v>
      </c>
      <c r="B229" s="22" t="inlineStr">
        <is>
          <t>AGM</t>
        </is>
      </c>
      <c r="C229" s="13" t="inlineStr">
        <is>
          <t>UPCOM</t>
        </is>
      </c>
      <c r="D229" s="14" t="inlineStr">
        <is>
          <t>CTCP Xuất Nhập khẩu An Giang</t>
        </is>
      </c>
      <c r="E229" s="14" t="inlineStr">
        <is>
          <t>Thực phẩm và đồ uống</t>
        </is>
      </c>
      <c r="F229" s="14" t="inlineStr">
        <is>
          <t>Hàng Tiêu dùng</t>
        </is>
      </c>
      <c r="G229" s="13" t="inlineStr">
        <is>
          <t>Thành viên</t>
        </is>
      </c>
      <c r="H229" s="15" t="n">
        <v>64442.85714285714</v>
      </c>
      <c r="I229" s="16" t="n">
        <v>2100</v>
      </c>
      <c r="J229" s="23" t="inlineStr">
        <is>
          <t>Tiền mặt hàng năm</t>
        </is>
      </c>
      <c r="K229" s="11" t="inlineStr">
        <is>
          <t>Hàng năm</t>
        </is>
      </c>
      <c r="L229" s="13" t="inlineStr">
        <is>
          <t>Không</t>
        </is>
      </c>
      <c r="M229" s="14" t="inlineStr">
        <is>
          <t>2020, 2019, 2016, 2015, 2014, 2013</t>
        </is>
      </c>
      <c r="N229" s="14" t="inlineStr">
        <is>
          <t>-</t>
        </is>
      </c>
      <c r="O229" s="14" t="inlineStr">
        <is>
          <t>Tiền mặt hàng năm (2020, 2019, 2016, 2015, 2014, 2013)</t>
        </is>
      </c>
    </row>
    <row r="230" ht="22" customHeight="1">
      <c r="A230" s="4" t="n">
        <v>227</v>
      </c>
      <c r="B230" s="22" t="inlineStr">
        <is>
          <t>ATA</t>
        </is>
      </c>
      <c r="C230" s="4" t="inlineStr">
        <is>
          <t>UPCOM</t>
        </is>
      </c>
      <c r="D230" s="6" t="inlineStr">
        <is>
          <t>CTCP Ntaco</t>
        </is>
      </c>
      <c r="E230" s="6" t="inlineStr">
        <is>
          <t>Thực phẩm và đồ uống</t>
        </is>
      </c>
      <c r="F230" s="6" t="inlineStr">
        <is>
          <t>Hàng Tiêu dùng</t>
        </is>
      </c>
      <c r="G230" s="4" t="inlineStr">
        <is>
          <t>Thành viên</t>
        </is>
      </c>
      <c r="H230" s="8" t="n">
        <v>64233.33333333334</v>
      </c>
      <c r="I230" s="9" t="n">
        <v>300</v>
      </c>
      <c r="J230" s="27" t="inlineStr">
        <is>
          <t>Tiền mặt hàng năm</t>
        </is>
      </c>
      <c r="K230" s="11" t="inlineStr">
        <is>
          <t>Hàng năm</t>
        </is>
      </c>
      <c r="L230" s="4" t="inlineStr">
        <is>
          <t>Không</t>
        </is>
      </c>
      <c r="M230" s="6" t="inlineStr">
        <is>
          <t>2011, 2010, 2009</t>
        </is>
      </c>
      <c r="N230" s="6" t="inlineStr">
        <is>
          <t>-</t>
        </is>
      </c>
      <c r="O230" s="6" t="inlineStr">
        <is>
          <t>Tiền mặt hàng năm (2011, 2010, 2009)</t>
        </is>
      </c>
    </row>
    <row r="231" ht="22" customHeight="1">
      <c r="A231" s="13" t="n">
        <v>228</v>
      </c>
      <c r="B231" s="20" t="inlineStr">
        <is>
          <t>TAR</t>
        </is>
      </c>
      <c r="C231" s="13" t="inlineStr">
        <is>
          <t>UPCOM</t>
        </is>
      </c>
      <c r="D231" s="14" t="inlineStr">
        <is>
          <t>CTCP Nông nghiệp Công nghệ cao Trung An</t>
        </is>
      </c>
      <c r="E231" s="14" t="inlineStr">
        <is>
          <t>Thực phẩm và đồ uống</t>
        </is>
      </c>
      <c r="F231" s="14" t="inlineStr">
        <is>
          <t>Hàng Tiêu dùng</t>
        </is>
      </c>
      <c r="G231" s="13" t="inlineStr">
        <is>
          <t>Thành viên</t>
        </is>
      </c>
      <c r="H231" s="15" t="n">
        <v>60600</v>
      </c>
      <c r="I231" s="16" t="n">
        <v>2300</v>
      </c>
      <c r="J231" s="21" t="inlineStr">
        <is>
          <t>Cổ tức cổ phiếu</t>
        </is>
      </c>
      <c r="K231" s="13" t="inlineStr">
        <is>
          <t>Không</t>
        </is>
      </c>
      <c r="L231" s="12" t="inlineStr">
        <is>
          <t>Có</t>
        </is>
      </c>
      <c r="M231" s="14" t="inlineStr">
        <is>
          <t>-</t>
        </is>
      </c>
      <c r="N231" s="14" t="inlineStr">
        <is>
          <t>2022, 2021, 2020</t>
        </is>
      </c>
      <c r="O231" s="14" t="inlineStr">
        <is>
          <t>Cổ tức CP (2022, 2021, 2020)</t>
        </is>
      </c>
    </row>
    <row r="232" ht="22" customHeight="1">
      <c r="A232" s="4" t="n">
        <v>229</v>
      </c>
      <c r="B232" s="22" t="inlineStr">
        <is>
          <t>SBB</t>
        </is>
      </c>
      <c r="C232" s="4" t="inlineStr">
        <is>
          <t>UPCOM</t>
        </is>
      </c>
      <c r="D232" s="6" t="inlineStr">
        <is>
          <t>CTCP Tập đoàn Bia Sài Gòn - Bình Tây</t>
        </is>
      </c>
      <c r="E232" s="6" t="inlineStr">
        <is>
          <t>Thực phẩm và đồ uống</t>
        </is>
      </c>
      <c r="F232" s="6" t="inlineStr">
        <is>
          <t>Hàng Tiêu dùng</t>
        </is>
      </c>
      <c r="G232" s="4" t="inlineStr">
        <is>
          <t>Thành viên</t>
        </is>
      </c>
      <c r="H232" s="8" t="n">
        <v>60100</v>
      </c>
      <c r="I232" s="9" t="n">
        <v>18500</v>
      </c>
      <c r="J232" s="27" t="inlineStr">
        <is>
          <t>Tiền mặt hàng năm</t>
        </is>
      </c>
      <c r="K232" s="11" t="inlineStr">
        <is>
          <t>Hàng năm</t>
        </is>
      </c>
      <c r="L232" s="4" t="inlineStr">
        <is>
          <t>Không</t>
        </is>
      </c>
      <c r="M232" s="6" t="inlineStr">
        <is>
          <t>2026, 2024</t>
        </is>
      </c>
      <c r="N232" s="6" t="inlineStr">
        <is>
          <t>-</t>
        </is>
      </c>
      <c r="O232" s="6" t="inlineStr">
        <is>
          <t>Tiền mặt hàng năm (2026, 2024)</t>
        </is>
      </c>
    </row>
    <row r="233" ht="22" customHeight="1">
      <c r="A233" s="13" t="n">
        <v>230</v>
      </c>
      <c r="B233" s="25" t="inlineStr">
        <is>
          <t>VNH</t>
        </is>
      </c>
      <c r="C233" s="13" t="inlineStr">
        <is>
          <t>UPCOM</t>
        </is>
      </c>
      <c r="D233" s="14" t="inlineStr">
        <is>
          <t>CTCP Đầu tư Việt Việt Nhật</t>
        </is>
      </c>
      <c r="E233" s="14" t="inlineStr">
        <is>
          <t>Thực phẩm và đồ uống</t>
        </is>
      </c>
      <c r="F233" s="14" t="inlineStr">
        <is>
          <t>Hàng Tiêu dùng</t>
        </is>
      </c>
      <c r="G233" s="13" t="inlineStr">
        <is>
          <t>Thành viên</t>
        </is>
      </c>
      <c r="H233" s="15" t="n">
        <v>56685.71428571428</v>
      </c>
      <c r="I233" s="16" t="n">
        <v>600</v>
      </c>
      <c r="J233" s="26" t="inlineStr">
        <is>
          <t>Chưa chia / Khác</t>
        </is>
      </c>
      <c r="K233" s="13" t="inlineStr">
        <is>
          <t>Không</t>
        </is>
      </c>
      <c r="L233" s="13" t="inlineStr">
        <is>
          <t>Không</t>
        </is>
      </c>
      <c r="M233" s="14" t="inlineStr">
        <is>
          <t>-</t>
        </is>
      </c>
      <c r="N233" s="14" t="inlineStr">
        <is>
          <t>-</t>
        </is>
      </c>
      <c r="O233" s="14" t="inlineStr">
        <is>
          <t>Chưa có lịch sử chia cổ tức</t>
        </is>
      </c>
    </row>
    <row r="234" ht="22" customHeight="1">
      <c r="A234" s="4" t="n">
        <v>231</v>
      </c>
      <c r="B234" s="18" t="inlineStr">
        <is>
          <t>OCH</t>
        </is>
      </c>
      <c r="C234" s="4" t="inlineStr">
        <is>
          <t>HNX</t>
        </is>
      </c>
      <c r="D234" s="6" t="inlineStr">
        <is>
          <t>CTCP One Capital Hospitality</t>
        </is>
      </c>
      <c r="E234" s="6" t="inlineStr">
        <is>
          <t>Thực phẩm và đồ uống</t>
        </is>
      </c>
      <c r="F234" s="6" t="inlineStr">
        <is>
          <t>Hàng Tiêu dùng</t>
        </is>
      </c>
      <c r="G234" s="4" t="inlineStr">
        <is>
          <t>Thành viên</t>
        </is>
      </c>
      <c r="H234" s="8" t="n">
        <v>50070</v>
      </c>
      <c r="I234" s="9" t="n">
        <v>6400</v>
      </c>
      <c r="J234" s="19" t="inlineStr">
        <is>
          <t>Tiền mặt không đều</t>
        </is>
      </c>
      <c r="K234" s="4" t="inlineStr">
        <is>
          <t>Có</t>
        </is>
      </c>
      <c r="L234" s="4" t="inlineStr">
        <is>
          <t>Không</t>
        </is>
      </c>
      <c r="M234" s="6" t="inlineStr">
        <is>
          <t>2013, 2012</t>
        </is>
      </c>
      <c r="N234" s="6" t="inlineStr">
        <is>
          <t>-</t>
        </is>
      </c>
      <c r="O234" s="6" t="inlineStr">
        <is>
          <t>Tiền mặt (2013, 2012)</t>
        </is>
      </c>
    </row>
    <row r="235" ht="22" customHeight="1">
      <c r="A235" s="13" t="n">
        <v>232</v>
      </c>
      <c r="B235" s="20" t="inlineStr">
        <is>
          <t>YEG</t>
        </is>
      </c>
      <c r="C235" s="13" t="inlineStr">
        <is>
          <t>HOSE</t>
        </is>
      </c>
      <c r="D235" s="14" t="inlineStr">
        <is>
          <t>CTCP Tập đoàn Yeah1</t>
        </is>
      </c>
      <c r="E235" s="14" t="inlineStr">
        <is>
          <t>Truyền thông</t>
        </is>
      </c>
      <c r="F235" s="14" t="inlineStr">
        <is>
          <t>Dịch vụ Tiêu dùng</t>
        </is>
      </c>
      <c r="G235" s="7" t="inlineStr">
        <is>
          <t>⭐ Đầu ngành</t>
        </is>
      </c>
      <c r="H235" s="15" t="n">
        <v>458830</v>
      </c>
      <c r="I235" s="16" t="n">
        <v>7090</v>
      </c>
      <c r="J235" s="21" t="inlineStr">
        <is>
          <t>Cổ tức cổ phiếu</t>
        </is>
      </c>
      <c r="K235" s="13" t="inlineStr">
        <is>
          <t>Không</t>
        </is>
      </c>
      <c r="L235" s="12" t="inlineStr">
        <is>
          <t>Có</t>
        </is>
      </c>
      <c r="M235" s="14" t="inlineStr">
        <is>
          <t>-</t>
        </is>
      </c>
      <c r="N235" s="14" t="inlineStr">
        <is>
          <t>2026, 2023</t>
        </is>
      </c>
      <c r="O235" s="14" t="inlineStr">
        <is>
          <t>Cổ tức CP (2026, 2023)</t>
        </is>
      </c>
    </row>
    <row r="236" ht="22" customHeight="1">
      <c r="A236" s="4" t="n">
        <v>233</v>
      </c>
      <c r="B236" s="18" t="inlineStr">
        <is>
          <t>DST</t>
        </is>
      </c>
      <c r="C236" s="4" t="inlineStr">
        <is>
          <t>HNX</t>
        </is>
      </c>
      <c r="D236" s="6" t="inlineStr">
        <is>
          <t>CTCP Đầu tư Sao Thăng Long</t>
        </is>
      </c>
      <c r="E236" s="6" t="inlineStr">
        <is>
          <t>Truyền thông</t>
        </is>
      </c>
      <c r="F236" s="6" t="inlineStr">
        <is>
          <t>Dịch vụ Tiêu dùng</t>
        </is>
      </c>
      <c r="G236" s="7" t="inlineStr">
        <is>
          <t>⭐ Đầu ngành</t>
        </is>
      </c>
      <c r="H236" s="8" t="n">
        <v>145340</v>
      </c>
      <c r="I236" s="9" t="n">
        <v>8100</v>
      </c>
      <c r="J236" s="19" t="inlineStr">
        <is>
          <t>Tiền mặt không đều</t>
        </is>
      </c>
      <c r="K236" s="4" t="inlineStr">
        <is>
          <t>Có</t>
        </is>
      </c>
      <c r="L236" s="4" t="inlineStr">
        <is>
          <t>Không</t>
        </is>
      </c>
      <c r="M236" s="6" t="inlineStr">
        <is>
          <t>2010</t>
        </is>
      </c>
      <c r="N236" s="6" t="inlineStr">
        <is>
          <t>-</t>
        </is>
      </c>
      <c r="O236" s="6" t="inlineStr">
        <is>
          <t>Tiền mặt (2010)</t>
        </is>
      </c>
    </row>
    <row r="237" ht="22" customHeight="1">
      <c r="A237" s="13" t="n">
        <v>234</v>
      </c>
      <c r="B237" s="25" t="inlineStr">
        <is>
          <t>VNB</t>
        </is>
      </c>
      <c r="C237" s="13" t="inlineStr">
        <is>
          <t>UPCOM</t>
        </is>
      </c>
      <c r="D237" s="14" t="inlineStr">
        <is>
          <t>CTCP Sách Việt Nam</t>
        </is>
      </c>
      <c r="E237" s="14" t="inlineStr">
        <is>
          <t>Truyền thông</t>
        </is>
      </c>
      <c r="F237" s="14" t="inlineStr">
        <is>
          <t>Dịch vụ Tiêu dùng</t>
        </is>
      </c>
      <c r="G237" s="7" t="inlineStr">
        <is>
          <t>⭐ Đầu ngành</t>
        </is>
      </c>
      <c r="H237" s="15" t="n">
        <v>103720</v>
      </c>
      <c r="I237" s="16" t="n">
        <v>17000</v>
      </c>
      <c r="J237" s="26" t="inlineStr">
        <is>
          <t>Chưa chia / Khác</t>
        </is>
      </c>
      <c r="K237" s="13" t="inlineStr">
        <is>
          <t>Không</t>
        </is>
      </c>
      <c r="L237" s="13" t="inlineStr">
        <is>
          <t>Không</t>
        </is>
      </c>
      <c r="M237" s="14" t="inlineStr">
        <is>
          <t>-</t>
        </is>
      </c>
      <c r="N237" s="14" t="inlineStr">
        <is>
          <t>-</t>
        </is>
      </c>
      <c r="O237" s="14" t="inlineStr">
        <is>
          <t>Chưa có lịch sử chia cổ tức</t>
        </is>
      </c>
    </row>
    <row r="238" ht="22" customHeight="1">
      <c r="A238" s="4" t="n">
        <v>235</v>
      </c>
      <c r="B238" s="5" t="inlineStr">
        <is>
          <t>HPG</t>
        </is>
      </c>
      <c r="C238" s="4" t="inlineStr">
        <is>
          <t>HOSE</t>
        </is>
      </c>
      <c r="D238" s="6" t="inlineStr">
        <is>
          <t>CTCP Tập đoàn Hòa Phát</t>
        </is>
      </c>
      <c r="E238" s="6" t="inlineStr">
        <is>
          <t>Tài nguyên Cơ bản</t>
        </is>
      </c>
      <c r="F238" s="6" t="inlineStr">
        <is>
          <t>Nguyên vật liệu</t>
        </is>
      </c>
      <c r="G238" s="7" t="inlineStr">
        <is>
          <t>⭐ Đầu ngành</t>
        </is>
      </c>
      <c r="H238" s="8" t="n">
        <v>19751625</v>
      </c>
      <c r="I238" s="9" t="n">
        <v>21550</v>
      </c>
      <c r="J238" s="10" t="inlineStr">
        <is>
          <t>Cả tiền mặt &amp; cổ phiếu</t>
        </is>
      </c>
      <c r="K238" s="11" t="inlineStr">
        <is>
          <t>Hàng năm</t>
        </is>
      </c>
      <c r="L238" s="12" t="inlineStr">
        <is>
          <t>Có</t>
        </is>
      </c>
      <c r="M238" s="6" t="inlineStr">
        <is>
          <t>2026, 2022, 2021, 2020, 2016, 2015, 2014, 2013</t>
        </is>
      </c>
      <c r="N238" s="6" t="inlineStr">
        <is>
          <t>2026, 2025, 2024, 2022, 2021, 2020, 2019, 2018</t>
        </is>
      </c>
      <c r="O238" s="6" t="inlineStr">
        <is>
          <t>Tiền mặt hàng năm (2026, 2022, 2021, 2020, 2016, 2015, 2014, 2013); Cổ tức CP (2026, 2025, 2024, 2022, 2021, 2020, 2019, 2018)</t>
        </is>
      </c>
    </row>
    <row r="239" ht="22" customHeight="1">
      <c r="A239" s="13" t="n">
        <v>236</v>
      </c>
      <c r="B239" s="20" t="inlineStr">
        <is>
          <t>POM</t>
        </is>
      </c>
      <c r="C239" s="13" t="inlineStr">
        <is>
          <t>UPCOM</t>
        </is>
      </c>
      <c r="D239" s="14" t="inlineStr">
        <is>
          <t>CTCP Thép Pomina</t>
        </is>
      </c>
      <c r="E239" s="14" t="inlineStr">
        <is>
          <t>Tài nguyên Cơ bản</t>
        </is>
      </c>
      <c r="F239" s="14" t="inlineStr">
        <is>
          <t>Nguyên vật liệu</t>
        </is>
      </c>
      <c r="G239" s="7" t="inlineStr">
        <is>
          <t>⭐ Đầu ngành</t>
        </is>
      </c>
      <c r="H239" s="15" t="n">
        <v>3079714.285714286</v>
      </c>
      <c r="I239" s="16" t="n">
        <v>3500</v>
      </c>
      <c r="J239" s="21" t="inlineStr">
        <is>
          <t>Cổ tức cổ phiếu</t>
        </is>
      </c>
      <c r="K239" s="13" t="inlineStr">
        <is>
          <t>Có</t>
        </is>
      </c>
      <c r="L239" s="12" t="inlineStr">
        <is>
          <t>Có</t>
        </is>
      </c>
      <c r="M239" s="14" t="inlineStr">
        <is>
          <t>2011, 2010</t>
        </is>
      </c>
      <c r="N239" s="14" t="inlineStr">
        <is>
          <t>2020, 2018</t>
        </is>
      </c>
      <c r="O239" s="14" t="inlineStr">
        <is>
          <t>Tiền mặt (2011, 2010); Cổ tức CP (2020, 2018)</t>
        </is>
      </c>
    </row>
    <row r="240" ht="22" customHeight="1">
      <c r="A240" s="4" t="n">
        <v>237</v>
      </c>
      <c r="B240" s="5" t="inlineStr">
        <is>
          <t>HSG</t>
        </is>
      </c>
      <c r="C240" s="4" t="inlineStr">
        <is>
          <t>HOSE</t>
        </is>
      </c>
      <c r="D240" s="6" t="inlineStr">
        <is>
          <t>CTCP Tập đoàn Hoa Sen</t>
        </is>
      </c>
      <c r="E240" s="6" t="inlineStr">
        <is>
          <t>Tài nguyên Cơ bản</t>
        </is>
      </c>
      <c r="F240" s="6" t="inlineStr">
        <is>
          <t>Nguyên vật liệu</t>
        </is>
      </c>
      <c r="G240" s="7" t="inlineStr">
        <is>
          <t>⭐ Đầu ngành</t>
        </is>
      </c>
      <c r="H240" s="8" t="n">
        <v>2381545</v>
      </c>
      <c r="I240" s="9" t="n">
        <v>10150</v>
      </c>
      <c r="J240" s="10" t="inlineStr">
        <is>
          <t>Cả tiền mặt &amp; cổ phiếu</t>
        </is>
      </c>
      <c r="K240" s="11" t="inlineStr">
        <is>
          <t>Hàng năm</t>
        </is>
      </c>
      <c r="L240" s="12" t="inlineStr">
        <is>
          <t>Có</t>
        </is>
      </c>
      <c r="M240" s="6" t="inlineStr">
        <is>
          <t>2025, 2024, 2018, 2017, 2016, 2015, 2014, 2013</t>
        </is>
      </c>
      <c r="N240" s="6" t="inlineStr">
        <is>
          <t>2026, 2023, 2022, 2021, 2020, 2019, 2018, 2017</t>
        </is>
      </c>
      <c r="O240" s="6" t="inlineStr">
        <is>
          <t>Tiền mặt hàng năm (2025, 2024, 2018, 2017, 2016, 2015, 2014, 2013); Cổ tức CP (2026, 2023, 2022, 2021, 2020, 2019, 2018, 2017)</t>
        </is>
      </c>
    </row>
    <row r="241" ht="22" customHeight="1">
      <c r="A241" s="13" t="n">
        <v>238</v>
      </c>
      <c r="B241" s="20" t="inlineStr">
        <is>
          <t>MSR</t>
        </is>
      </c>
      <c r="C241" s="13" t="inlineStr">
        <is>
          <t>UPCOM</t>
        </is>
      </c>
      <c r="D241" s="14" t="inlineStr">
        <is>
          <t>CTCP Masan High-Tech Materials</t>
        </is>
      </c>
      <c r="E241" s="14" t="inlineStr">
        <is>
          <t>Tài nguyên Cơ bản</t>
        </is>
      </c>
      <c r="F241" s="14" t="inlineStr">
        <is>
          <t>Nguyên vật liệu</t>
        </is>
      </c>
      <c r="G241" s="7" t="inlineStr">
        <is>
          <t>⭐ Đầu ngành</t>
        </is>
      </c>
      <c r="H241" s="15" t="n">
        <v>1663860</v>
      </c>
      <c r="I241" s="16" t="n">
        <v>47300</v>
      </c>
      <c r="J241" s="21" t="inlineStr">
        <is>
          <t>Cổ tức cổ phiếu</t>
        </is>
      </c>
      <c r="K241" s="13" t="inlineStr">
        <is>
          <t>Có</t>
        </is>
      </c>
      <c r="L241" s="12" t="inlineStr">
        <is>
          <t>Có</t>
        </is>
      </c>
      <c r="M241" s="14" t="inlineStr">
        <is>
          <t>2026</t>
        </is>
      </c>
      <c r="N241" s="14" t="inlineStr">
        <is>
          <t>2019, 2018</t>
        </is>
      </c>
      <c r="O241" s="14" t="inlineStr">
        <is>
          <t>Tiền mặt (2026); Cổ tức CP (2019, 2018)</t>
        </is>
      </c>
    </row>
    <row r="242" ht="22" customHeight="1">
      <c r="A242" s="4" t="n">
        <v>239</v>
      </c>
      <c r="B242" s="5" t="inlineStr">
        <is>
          <t>NKG</t>
        </is>
      </c>
      <c r="C242" s="4" t="inlineStr">
        <is>
          <t>HOSE</t>
        </is>
      </c>
      <c r="D242" s="6" t="inlineStr">
        <is>
          <t>CTCP Thép Nam Kim</t>
        </is>
      </c>
      <c r="E242" s="6" t="inlineStr">
        <is>
          <t>Tài nguyên Cơ bản</t>
        </is>
      </c>
      <c r="F242" s="6" t="inlineStr">
        <is>
          <t>Nguyên vật liệu</t>
        </is>
      </c>
      <c r="G242" s="7" t="inlineStr">
        <is>
          <t>⭐ Đầu ngành</t>
        </is>
      </c>
      <c r="H242" s="8" t="n">
        <v>1490910</v>
      </c>
      <c r="I242" s="9" t="n">
        <v>9890</v>
      </c>
      <c r="J242" s="10" t="inlineStr">
        <is>
          <t>Cả tiền mặt &amp; cổ phiếu</t>
        </is>
      </c>
      <c r="K242" s="11" t="inlineStr">
        <is>
          <t>Hàng năm</t>
        </is>
      </c>
      <c r="L242" s="12" t="inlineStr">
        <is>
          <t>Có</t>
        </is>
      </c>
      <c r="M242" s="6" t="inlineStr">
        <is>
          <t>2022, 2020, 2017, 2011</t>
        </is>
      </c>
      <c r="N242" s="6" t="inlineStr">
        <is>
          <t>2026, 2024, 2022, 2021, 2018, 2017, 2016, 2015</t>
        </is>
      </c>
      <c r="O242" s="6" t="inlineStr">
        <is>
          <t>Tiền mặt hàng năm (2022, 2020, 2017, 2011); Cổ tức CP (2026, 2024, 2022, 2021, 2018, 2017, 2016, 2015)</t>
        </is>
      </c>
    </row>
    <row r="243" ht="22" customHeight="1">
      <c r="A243" s="13" t="n">
        <v>240</v>
      </c>
      <c r="B243" s="5" t="inlineStr">
        <is>
          <t>PTB</t>
        </is>
      </c>
      <c r="C243" s="13" t="inlineStr">
        <is>
          <t>HOSE</t>
        </is>
      </c>
      <c r="D243" s="14" t="inlineStr">
        <is>
          <t>CTCP Phú Tài</t>
        </is>
      </c>
      <c r="E243" s="14" t="inlineStr">
        <is>
          <t>Tài nguyên Cơ bản</t>
        </is>
      </c>
      <c r="F243" s="14" t="inlineStr">
        <is>
          <t>Nguyên vật liệu</t>
        </is>
      </c>
      <c r="G243" s="7" t="inlineStr">
        <is>
          <t>⭐ Đầu ngành</t>
        </is>
      </c>
      <c r="H243" s="15" t="n">
        <v>118740</v>
      </c>
      <c r="I243" s="16" t="n">
        <v>29800</v>
      </c>
      <c r="J243" s="17" t="inlineStr">
        <is>
          <t>Cả tiền mặt &amp; cổ phiếu</t>
        </is>
      </c>
      <c r="K243" s="11" t="inlineStr">
        <is>
          <t>Hàng năm</t>
        </is>
      </c>
      <c r="L243" s="12" t="inlineStr">
        <is>
          <t>Có</t>
        </is>
      </c>
      <c r="M243" s="14" t="inlineStr">
        <is>
          <t>2026, 2025, 2024, 2023, 2022, 2021, 2020, 2019</t>
        </is>
      </c>
      <c r="N243" s="14" t="inlineStr">
        <is>
          <t>2026, 2022, 2021, 2018, 2017, 2016, 2015, 2011</t>
        </is>
      </c>
      <c r="O243" s="14" t="inlineStr">
        <is>
          <t>Tiền mặt hàng năm (2026, 2025, 2024, 2023, 2022, 2021, 2020, 2019); Cổ tức CP (2026, 2022, 2021, 2018, 2017, 2016, 2015, 2011)</t>
        </is>
      </c>
    </row>
    <row r="244" ht="22" customHeight="1">
      <c r="A244" s="4" t="n">
        <v>241</v>
      </c>
      <c r="B244" s="20" t="inlineStr">
        <is>
          <t>HHP</t>
        </is>
      </c>
      <c r="C244" s="4" t="inlineStr">
        <is>
          <t>HOSE</t>
        </is>
      </c>
      <c r="D244" s="6" t="inlineStr">
        <is>
          <t>CTCP HHP Global</t>
        </is>
      </c>
      <c r="E244" s="6" t="inlineStr">
        <is>
          <t>Tài nguyên Cơ bản</t>
        </is>
      </c>
      <c r="F244" s="6" t="inlineStr">
        <is>
          <t>Nguyên vật liệu</t>
        </is>
      </c>
      <c r="G244" s="4" t="inlineStr">
        <is>
          <t>Thành viên</t>
        </is>
      </c>
      <c r="H244" s="8" t="n">
        <v>1030320</v>
      </c>
      <c r="I244" s="9" t="n">
        <v>17200</v>
      </c>
      <c r="J244" s="24" t="inlineStr">
        <is>
          <t>Cổ tức cổ phiếu</t>
        </is>
      </c>
      <c r="K244" s="4" t="inlineStr">
        <is>
          <t>Không</t>
        </is>
      </c>
      <c r="L244" s="12" t="inlineStr">
        <is>
          <t>Có</t>
        </is>
      </c>
      <c r="M244" s="6" t="inlineStr">
        <is>
          <t>-</t>
        </is>
      </c>
      <c r="N244" s="6" t="inlineStr">
        <is>
          <t>2026, 2024, 2022, 2021, 2019</t>
        </is>
      </c>
      <c r="O244" s="6" t="inlineStr">
        <is>
          <t>Cổ tức CP (2026, 2024, 2022, 2021, 2019)</t>
        </is>
      </c>
    </row>
    <row r="245" ht="22" customHeight="1">
      <c r="A245" s="13" t="n">
        <v>242</v>
      </c>
      <c r="B245" s="20" t="inlineStr">
        <is>
          <t>TTF</t>
        </is>
      </c>
      <c r="C245" s="13" t="inlineStr">
        <is>
          <t>HOSE</t>
        </is>
      </c>
      <c r="D245" s="14" t="inlineStr">
        <is>
          <t>CTCP Tập đoàn Kỹ nghệ gỗ Trường Thành</t>
        </is>
      </c>
      <c r="E245" s="14" t="inlineStr">
        <is>
          <t>Tài nguyên Cơ bản</t>
        </is>
      </c>
      <c r="F245" s="14" t="inlineStr">
        <is>
          <t>Nguyên vật liệu</t>
        </is>
      </c>
      <c r="G245" s="13" t="inlineStr">
        <is>
          <t>Thành viên</t>
        </is>
      </c>
      <c r="H245" s="15" t="n">
        <v>759580</v>
      </c>
      <c r="I245" s="16" t="n">
        <v>1460</v>
      </c>
      <c r="J245" s="21" t="inlineStr">
        <is>
          <t>Cổ tức cổ phiếu</t>
        </is>
      </c>
      <c r="K245" s="13" t="inlineStr">
        <is>
          <t>Không</t>
        </is>
      </c>
      <c r="L245" s="12" t="inlineStr">
        <is>
          <t>Có</t>
        </is>
      </c>
      <c r="M245" s="14" t="inlineStr">
        <is>
          <t>-</t>
        </is>
      </c>
      <c r="N245" s="14" t="inlineStr">
        <is>
          <t>2012</t>
        </is>
      </c>
      <c r="O245" s="14" t="inlineStr">
        <is>
          <t>Cổ tức CP (2012)</t>
        </is>
      </c>
    </row>
    <row r="246" ht="22" customHeight="1">
      <c r="A246" s="4" t="n">
        <v>243</v>
      </c>
      <c r="B246" s="20" t="inlineStr">
        <is>
          <t>TNI</t>
        </is>
      </c>
      <c r="C246" s="4" t="inlineStr">
        <is>
          <t>HOSE</t>
        </is>
      </c>
      <c r="D246" s="6" t="inlineStr">
        <is>
          <t>CTCP Tập đoàn Thành Nam</t>
        </is>
      </c>
      <c r="E246" s="6" t="inlineStr">
        <is>
          <t>Tài nguyên Cơ bản</t>
        </is>
      </c>
      <c r="F246" s="6" t="inlineStr">
        <is>
          <t>Nguyên vật liệu</t>
        </is>
      </c>
      <c r="G246" s="4" t="inlineStr">
        <is>
          <t>Thành viên</t>
        </is>
      </c>
      <c r="H246" s="8" t="n">
        <v>742135</v>
      </c>
      <c r="I246" s="9" t="n">
        <v>5250</v>
      </c>
      <c r="J246" s="24" t="inlineStr">
        <is>
          <t>Cổ tức cổ phiếu</t>
        </is>
      </c>
      <c r="K246" s="4" t="inlineStr">
        <is>
          <t>Có</t>
        </is>
      </c>
      <c r="L246" s="12" t="inlineStr">
        <is>
          <t>Có</t>
        </is>
      </c>
      <c r="M246" s="6" t="inlineStr">
        <is>
          <t>2018</t>
        </is>
      </c>
      <c r="N246" s="6" t="inlineStr">
        <is>
          <t>2016</t>
        </is>
      </c>
      <c r="O246" s="6" t="inlineStr">
        <is>
          <t>Tiền mặt (2018); Cổ tức CP (2016)</t>
        </is>
      </c>
    </row>
    <row r="247" ht="22" customHeight="1">
      <c r="A247" s="13" t="n">
        <v>244</v>
      </c>
      <c r="B247" s="20" t="inlineStr">
        <is>
          <t>MZG</t>
        </is>
      </c>
      <c r="C247" s="13" t="inlineStr">
        <is>
          <t>HOSE</t>
        </is>
      </c>
      <c r="D247" s="14" t="inlineStr">
        <is>
          <t>CTCP Miza</t>
        </is>
      </c>
      <c r="E247" s="14" t="inlineStr">
        <is>
          <t>Tài nguyên Cơ bản</t>
        </is>
      </c>
      <c r="F247" s="14" t="inlineStr">
        <is>
          <t>Nguyên vật liệu</t>
        </is>
      </c>
      <c r="G247" s="13" t="inlineStr">
        <is>
          <t>Thành viên</t>
        </is>
      </c>
      <c r="H247" s="15" t="n">
        <v>623250</v>
      </c>
      <c r="I247" s="16" t="n">
        <v>11850</v>
      </c>
      <c r="J247" s="21" t="inlineStr">
        <is>
          <t>Cổ tức cổ phiếu</t>
        </is>
      </c>
      <c r="K247" s="13" t="inlineStr">
        <is>
          <t>Không</t>
        </is>
      </c>
      <c r="L247" s="12" t="inlineStr">
        <is>
          <t>Có</t>
        </is>
      </c>
      <c r="M247" s="14" t="inlineStr">
        <is>
          <t>-</t>
        </is>
      </c>
      <c r="N247" s="14" t="inlineStr">
        <is>
          <t>2026, 2024</t>
        </is>
      </c>
      <c r="O247" s="14" t="inlineStr">
        <is>
          <t>Cổ tức CP (2026, 2024)</t>
        </is>
      </c>
    </row>
    <row r="248" ht="22" customHeight="1">
      <c r="A248" s="4" t="n">
        <v>245</v>
      </c>
      <c r="B248" s="22" t="inlineStr">
        <is>
          <t>TVN</t>
        </is>
      </c>
      <c r="C248" s="4" t="inlineStr">
        <is>
          <t>UPCOM</t>
        </is>
      </c>
      <c r="D248" s="6" t="inlineStr">
        <is>
          <t>Tổng Công ty Thép Việt Nam - CTCP</t>
        </is>
      </c>
      <c r="E248" s="6" t="inlineStr">
        <is>
          <t>Tài nguyên Cơ bản</t>
        </is>
      </c>
      <c r="F248" s="6" t="inlineStr">
        <is>
          <t>Nguyên vật liệu</t>
        </is>
      </c>
      <c r="G248" s="4" t="inlineStr">
        <is>
          <t>Thành viên</t>
        </is>
      </c>
      <c r="H248" s="8" t="n">
        <v>441405</v>
      </c>
      <c r="I248" s="9" t="n">
        <v>8800</v>
      </c>
      <c r="J248" s="27" t="inlineStr">
        <is>
          <t>Tiền mặt hàng năm</t>
        </is>
      </c>
      <c r="K248" s="11" t="inlineStr">
        <is>
          <t>Hàng năm</t>
        </is>
      </c>
      <c r="L248" s="4" t="inlineStr">
        <is>
          <t>Không</t>
        </is>
      </c>
      <c r="M248" s="6" t="inlineStr">
        <is>
          <t>2026, 2023</t>
        </is>
      </c>
      <c r="N248" s="6" t="inlineStr">
        <is>
          <t>-</t>
        </is>
      </c>
      <c r="O248" s="6" t="inlineStr">
        <is>
          <t>Tiền mặt hàng năm (2026, 2023)</t>
        </is>
      </c>
    </row>
    <row r="249" ht="22" customHeight="1">
      <c r="A249" s="13" t="n">
        <v>246</v>
      </c>
      <c r="B249" s="5" t="inlineStr">
        <is>
          <t>DHC</t>
        </is>
      </c>
      <c r="C249" s="13" t="inlineStr">
        <is>
          <t>HOSE</t>
        </is>
      </c>
      <c r="D249" s="14" t="inlineStr">
        <is>
          <t>CTCP Đông Hải Bến Tre</t>
        </is>
      </c>
      <c r="E249" s="14" t="inlineStr">
        <is>
          <t>Tài nguyên Cơ bản</t>
        </is>
      </c>
      <c r="F249" s="14" t="inlineStr">
        <is>
          <t>Nguyên vật liệu</t>
        </is>
      </c>
      <c r="G249" s="13" t="inlineStr">
        <is>
          <t>Thành viên</t>
        </is>
      </c>
      <c r="H249" s="15" t="n">
        <v>427140</v>
      </c>
      <c r="I249" s="16" t="n">
        <v>36550</v>
      </c>
      <c r="J249" s="17" t="inlineStr">
        <is>
          <t>Cả tiền mặt &amp; cổ phiếu</t>
        </is>
      </c>
      <c r="K249" s="11" t="inlineStr">
        <is>
          <t>Hàng năm</t>
        </is>
      </c>
      <c r="L249" s="12" t="inlineStr">
        <is>
          <t>Có</t>
        </is>
      </c>
      <c r="M249" s="14" t="inlineStr">
        <is>
          <t>2026, 2025, 2024, 2023, 2022, 2021, 2020, 2019</t>
        </is>
      </c>
      <c r="N249" s="14" t="inlineStr">
        <is>
          <t>2026, 2025, 2022, 2021, 2019, 2018, 2017, 2016</t>
        </is>
      </c>
      <c r="O249" s="14" t="inlineStr">
        <is>
          <t>Tiền mặt hàng năm (2026, 2025, 2024, 2023, 2022, 2021, 2020, 2019); Cổ tức CP (2026, 2025, 2022, 2021, 2019, 2018, 2017, 2016)</t>
        </is>
      </c>
    </row>
    <row r="250" ht="22" customHeight="1">
      <c r="A250" s="4" t="n">
        <v>247</v>
      </c>
      <c r="B250" s="18" t="inlineStr">
        <is>
          <t>AAH</t>
        </is>
      </c>
      <c r="C250" s="4" t="inlineStr">
        <is>
          <t>UPCOM</t>
        </is>
      </c>
      <c r="D250" s="6" t="inlineStr">
        <is>
          <t>CTCP Hợp Nhất</t>
        </is>
      </c>
      <c r="E250" s="6" t="inlineStr">
        <is>
          <t>Tài nguyên Cơ bản</t>
        </is>
      </c>
      <c r="F250" s="6" t="inlineStr">
        <is>
          <t>Nguyên vật liệu</t>
        </is>
      </c>
      <c r="G250" s="4" t="inlineStr">
        <is>
          <t>Thành viên</t>
        </is>
      </c>
      <c r="H250" s="8" t="n">
        <v>315430</v>
      </c>
      <c r="I250" s="9" t="n">
        <v>1900</v>
      </c>
      <c r="J250" s="19" t="inlineStr">
        <is>
          <t>Chưa chia / Khác</t>
        </is>
      </c>
      <c r="K250" s="4" t="inlineStr">
        <is>
          <t>Không</t>
        </is>
      </c>
      <c r="L250" s="4" t="inlineStr">
        <is>
          <t>Không</t>
        </is>
      </c>
      <c r="M250" s="6" t="inlineStr">
        <is>
          <t>-</t>
        </is>
      </c>
      <c r="N250" s="6" t="inlineStr">
        <is>
          <t>-</t>
        </is>
      </c>
      <c r="O250" s="6" t="inlineStr">
        <is>
          <t>Chưa có lịch sử chia cổ tức</t>
        </is>
      </c>
    </row>
    <row r="251" ht="22" customHeight="1">
      <c r="A251" s="13" t="n">
        <v>248</v>
      </c>
      <c r="B251" s="20" t="inlineStr">
        <is>
          <t>TTH</t>
        </is>
      </c>
      <c r="C251" s="13" t="inlineStr">
        <is>
          <t>HNX</t>
        </is>
      </c>
      <c r="D251" s="14" t="inlineStr">
        <is>
          <t>CTCP Thương mại và Dịch vụ Tiến Thành</t>
        </is>
      </c>
      <c r="E251" s="14" t="inlineStr">
        <is>
          <t>Tài nguyên Cơ bản</t>
        </is>
      </c>
      <c r="F251" s="14" t="inlineStr">
        <is>
          <t>Nguyên vật liệu</t>
        </is>
      </c>
      <c r="G251" s="13" t="inlineStr">
        <is>
          <t>Thành viên</t>
        </is>
      </c>
      <c r="H251" s="15" t="n">
        <v>286720</v>
      </c>
      <c r="I251" s="16" t="n">
        <v>2100</v>
      </c>
      <c r="J251" s="21" t="inlineStr">
        <is>
          <t>Cổ tức cổ phiếu</t>
        </is>
      </c>
      <c r="K251" s="13" t="inlineStr">
        <is>
          <t>Có</t>
        </is>
      </c>
      <c r="L251" s="12" t="inlineStr">
        <is>
          <t>Có</t>
        </is>
      </c>
      <c r="M251" s="14" t="inlineStr">
        <is>
          <t>2019, 2017</t>
        </is>
      </c>
      <c r="N251" s="14" t="inlineStr">
        <is>
          <t>2019, 2017, 2016</t>
        </is>
      </c>
      <c r="O251" s="14" t="inlineStr">
        <is>
          <t>Tiền mặt (2019, 2017); Cổ tức CP (2019, 2017, 2016)</t>
        </is>
      </c>
    </row>
    <row r="252" ht="22" customHeight="1">
      <c r="A252" s="4" t="n">
        <v>249</v>
      </c>
      <c r="B252" s="20" t="inlineStr">
        <is>
          <t>PAS</t>
        </is>
      </c>
      <c r="C252" s="4" t="inlineStr">
        <is>
          <t>UPCOM</t>
        </is>
      </c>
      <c r="D252" s="6" t="inlineStr">
        <is>
          <t>CTCP Quốc tế Phương Anh</t>
        </is>
      </c>
      <c r="E252" s="6" t="inlineStr">
        <is>
          <t>Tài nguyên Cơ bản</t>
        </is>
      </c>
      <c r="F252" s="6" t="inlineStr">
        <is>
          <t>Nguyên vật liệu</t>
        </is>
      </c>
      <c r="G252" s="4" t="inlineStr">
        <is>
          <t>Thành viên</t>
        </is>
      </c>
      <c r="H252" s="8" t="n">
        <v>249855</v>
      </c>
      <c r="I252" s="9" t="n">
        <v>2100</v>
      </c>
      <c r="J252" s="24" t="inlineStr">
        <is>
          <t>Cổ tức cổ phiếu</t>
        </is>
      </c>
      <c r="K252" s="4" t="inlineStr">
        <is>
          <t>Có</t>
        </is>
      </c>
      <c r="L252" s="12" t="inlineStr">
        <is>
          <t>Có</t>
        </is>
      </c>
      <c r="M252" s="6" t="inlineStr">
        <is>
          <t>2021</t>
        </is>
      </c>
      <c r="N252" s="6" t="inlineStr">
        <is>
          <t>2021</t>
        </is>
      </c>
      <c r="O252" s="6" t="inlineStr">
        <is>
          <t>Tiền mặt (2021); Cổ tức CP (2021)</t>
        </is>
      </c>
    </row>
    <row r="253" ht="22" customHeight="1">
      <c r="A253" s="13" t="n">
        <v>250</v>
      </c>
      <c r="B253" s="5" t="inlineStr">
        <is>
          <t>SHI</t>
        </is>
      </c>
      <c r="C253" s="13" t="inlineStr">
        <is>
          <t>HOSE</t>
        </is>
      </c>
      <c r="D253" s="14" t="inlineStr">
        <is>
          <t>CTCP Quốc tế Sơn Hà</t>
        </is>
      </c>
      <c r="E253" s="14" t="inlineStr">
        <is>
          <t>Tài nguyên Cơ bản</t>
        </is>
      </c>
      <c r="F253" s="14" t="inlineStr">
        <is>
          <t>Nguyên vật liệu</t>
        </is>
      </c>
      <c r="G253" s="13" t="inlineStr">
        <is>
          <t>Thành viên</t>
        </is>
      </c>
      <c r="H253" s="15" t="n">
        <v>233705</v>
      </c>
      <c r="I253" s="16" t="n">
        <v>14450</v>
      </c>
      <c r="J253" s="17" t="inlineStr">
        <is>
          <t>Cả tiền mặt &amp; cổ phiếu</t>
        </is>
      </c>
      <c r="K253" s="11" t="inlineStr">
        <is>
          <t>Hàng năm</t>
        </is>
      </c>
      <c r="L253" s="12" t="inlineStr">
        <is>
          <t>Có</t>
        </is>
      </c>
      <c r="M253" s="14" t="inlineStr">
        <is>
          <t>2020, 2019, 2018, 2017, 2015, 2014, 2013, 2010</t>
        </is>
      </c>
      <c r="N253" s="14" t="inlineStr">
        <is>
          <t>2025, 2022, 2021, 2020, 2019, 2018, 2017, 2016</t>
        </is>
      </c>
      <c r="O253" s="14" t="inlineStr">
        <is>
          <t>Tiền mặt hàng năm (2020, 2019, 2018, 2017, 2015, 2014, 2013, 2010); Cổ tức CP (2025, 2022, 2021, 2020, 2019, 2018, 2017, 2016)</t>
        </is>
      </c>
    </row>
    <row r="254" ht="22" customHeight="1">
      <c r="A254" s="4" t="n">
        <v>251</v>
      </c>
      <c r="B254" s="5" t="inlineStr">
        <is>
          <t>VPG</t>
        </is>
      </c>
      <c r="C254" s="4" t="inlineStr">
        <is>
          <t>HOSE</t>
        </is>
      </c>
      <c r="D254" s="6" t="inlineStr">
        <is>
          <t>CTCP Đầu tư Thương mại Xuất nhập khẩu Việt Phát</t>
        </is>
      </c>
      <c r="E254" s="6" t="inlineStr">
        <is>
          <t>Tài nguyên Cơ bản</t>
        </is>
      </c>
      <c r="F254" s="6" t="inlineStr">
        <is>
          <t>Nguyên vật liệu</t>
        </is>
      </c>
      <c r="G254" s="4" t="inlineStr">
        <is>
          <t>Thành viên</t>
        </is>
      </c>
      <c r="H254" s="8" t="n">
        <v>183405</v>
      </c>
      <c r="I254" s="9" t="n">
        <v>1480</v>
      </c>
      <c r="J254" s="10" t="inlineStr">
        <is>
          <t>Cả tiền mặt &amp; cổ phiếu</t>
        </is>
      </c>
      <c r="K254" s="11" t="inlineStr">
        <is>
          <t>Hàng năm</t>
        </is>
      </c>
      <c r="L254" s="12" t="inlineStr">
        <is>
          <t>Có</t>
        </is>
      </c>
      <c r="M254" s="6" t="inlineStr">
        <is>
          <t>2023, 2022, 2021</t>
        </is>
      </c>
      <c r="N254" s="6" t="inlineStr">
        <is>
          <t>2024, 2023, 2022, 2021, 2020, 2019, 2018</t>
        </is>
      </c>
      <c r="O254" s="6" t="inlineStr">
        <is>
          <t>Tiền mặt hàng năm (2023, 2022, 2021); Cổ tức CP (2024, 2023, 2022, 2021, 2020, 2019, 2018)</t>
        </is>
      </c>
    </row>
    <row r="255" ht="22" customHeight="1">
      <c r="A255" s="13" t="n">
        <v>252</v>
      </c>
      <c r="B255" s="25" t="inlineStr">
        <is>
          <t>ACM</t>
        </is>
      </c>
      <c r="C255" s="13" t="inlineStr">
        <is>
          <t>UPCOM</t>
        </is>
      </c>
      <c r="D255" s="14" t="inlineStr">
        <is>
          <t>CTCP Tập đoàn Khoáng sản Á Cường</t>
        </is>
      </c>
      <c r="E255" s="14" t="inlineStr">
        <is>
          <t>Tài nguyên Cơ bản</t>
        </is>
      </c>
      <c r="F255" s="14" t="inlineStr">
        <is>
          <t>Nguyên vật liệu</t>
        </is>
      </c>
      <c r="G255" s="13" t="inlineStr">
        <is>
          <t>Thành viên</t>
        </is>
      </c>
      <c r="H255" s="15" t="n">
        <v>173142.8571428571</v>
      </c>
      <c r="I255" s="16" t="n">
        <v>400</v>
      </c>
      <c r="J255" s="26" t="inlineStr">
        <is>
          <t>Tiền mặt không đều</t>
        </is>
      </c>
      <c r="K255" s="13" t="inlineStr">
        <is>
          <t>Có</t>
        </is>
      </c>
      <c r="L255" s="13" t="inlineStr">
        <is>
          <t>Không</t>
        </is>
      </c>
      <c r="M255" s="14" t="inlineStr">
        <is>
          <t>2016</t>
        </is>
      </c>
      <c r="N255" s="14" t="inlineStr">
        <is>
          <t>-</t>
        </is>
      </c>
      <c r="O255" s="14" t="inlineStr">
        <is>
          <t>Tiền mặt (2016)</t>
        </is>
      </c>
    </row>
    <row r="256" ht="22" customHeight="1">
      <c r="A256" s="4" t="n">
        <v>253</v>
      </c>
      <c r="B256" s="18" t="inlineStr">
        <is>
          <t>CLI</t>
        </is>
      </c>
      <c r="C256" s="4" t="inlineStr">
        <is>
          <t>UPCOM</t>
        </is>
      </c>
      <c r="D256" s="6" t="inlineStr">
        <is>
          <t>CTCP Tập đoàn CNCTech</t>
        </is>
      </c>
      <c r="E256" s="6" t="inlineStr">
        <is>
          <t>Tài nguyên Cơ bản</t>
        </is>
      </c>
      <c r="F256" s="6" t="inlineStr">
        <is>
          <t>Nguyên vật liệu</t>
        </is>
      </c>
      <c r="G256" s="4" t="inlineStr">
        <is>
          <t>Thành viên</t>
        </is>
      </c>
      <c r="H256" s="8" t="n">
        <v>147875</v>
      </c>
      <c r="I256" s="9" t="n">
        <v>24600</v>
      </c>
      <c r="J256" s="19" t="inlineStr">
        <is>
          <t>Chưa chia / Khác</t>
        </is>
      </c>
      <c r="K256" s="4" t="inlineStr">
        <is>
          <t>Không</t>
        </is>
      </c>
      <c r="L256" s="4" t="inlineStr">
        <is>
          <t>Không</t>
        </is>
      </c>
      <c r="M256" s="6" t="inlineStr">
        <is>
          <t>-</t>
        </is>
      </c>
      <c r="N256" s="6" t="inlineStr">
        <is>
          <t>-</t>
        </is>
      </c>
      <c r="O256" s="6" t="inlineStr">
        <is>
          <t>Chưa có lịch sử chia cổ tức</t>
        </is>
      </c>
    </row>
    <row r="257" ht="22" customHeight="1">
      <c r="A257" s="13" t="n">
        <v>254</v>
      </c>
      <c r="B257" s="25" t="inlineStr">
        <is>
          <t>KVC</t>
        </is>
      </c>
      <c r="C257" s="13" t="inlineStr">
        <is>
          <t>UPCOM</t>
        </is>
      </c>
      <c r="D257" s="14" t="inlineStr">
        <is>
          <t>CTCP Sản xuất Xuất nhập khẩu Inox Kim Vĩ</t>
        </is>
      </c>
      <c r="E257" s="14" t="inlineStr">
        <is>
          <t>Tài nguyên Cơ bản</t>
        </is>
      </c>
      <c r="F257" s="14" t="inlineStr">
        <is>
          <t>Nguyên vật liệu</t>
        </is>
      </c>
      <c r="G257" s="13" t="inlineStr">
        <is>
          <t>Thành viên</t>
        </is>
      </c>
      <c r="H257" s="15" t="n">
        <v>146620</v>
      </c>
      <c r="I257" s="16" t="n">
        <v>1000</v>
      </c>
      <c r="J257" s="26" t="inlineStr">
        <is>
          <t>Chưa chia / Khác</t>
        </is>
      </c>
      <c r="K257" s="13" t="inlineStr">
        <is>
          <t>Không</t>
        </is>
      </c>
      <c r="L257" s="13" t="inlineStr">
        <is>
          <t>Không</t>
        </is>
      </c>
      <c r="M257" s="14" t="inlineStr">
        <is>
          <t>-</t>
        </is>
      </c>
      <c r="N257" s="14" t="inlineStr">
        <is>
          <t>-</t>
        </is>
      </c>
      <c r="O257" s="14" t="inlineStr">
        <is>
          <t>Chưa có lịch sử chia cổ tức</t>
        </is>
      </c>
    </row>
    <row r="258" ht="22" customHeight="1">
      <c r="A258" s="4" t="n">
        <v>255</v>
      </c>
      <c r="B258" s="20" t="inlineStr">
        <is>
          <t>LCM</t>
        </is>
      </c>
      <c r="C258" s="4" t="inlineStr">
        <is>
          <t>UPCOM</t>
        </is>
      </c>
      <c r="D258" s="6" t="inlineStr">
        <is>
          <t>CTCP Khai thác và Chế biến khoáng sản Lào Cai</t>
        </is>
      </c>
      <c r="E258" s="6" t="inlineStr">
        <is>
          <t>Tài nguyên Cơ bản</t>
        </is>
      </c>
      <c r="F258" s="6" t="inlineStr">
        <is>
          <t>Nguyên vật liệu</t>
        </is>
      </c>
      <c r="G258" s="4" t="inlineStr">
        <is>
          <t>Thành viên</t>
        </is>
      </c>
      <c r="H258" s="8" t="n">
        <v>140857.1428571429</v>
      </c>
      <c r="I258" s="9" t="n">
        <v>600</v>
      </c>
      <c r="J258" s="24" t="inlineStr">
        <is>
          <t>Cổ tức cổ phiếu</t>
        </is>
      </c>
      <c r="K258" s="4" t="inlineStr">
        <is>
          <t>Có</t>
        </is>
      </c>
      <c r="L258" s="12" t="inlineStr">
        <is>
          <t>Có</t>
        </is>
      </c>
      <c r="M258" s="6" t="inlineStr">
        <is>
          <t>2013</t>
        </is>
      </c>
      <c r="N258" s="6" t="inlineStr">
        <is>
          <t>2013</t>
        </is>
      </c>
      <c r="O258" s="6" t="inlineStr">
        <is>
          <t>Tiền mặt (2013); Cổ tức CP (2013)</t>
        </is>
      </c>
    </row>
    <row r="259" ht="22" customHeight="1">
      <c r="A259" s="13" t="n">
        <v>256</v>
      </c>
      <c r="B259" s="20" t="inlineStr">
        <is>
          <t>SHN</t>
        </is>
      </c>
      <c r="C259" s="13" t="inlineStr">
        <is>
          <t>HNX</t>
        </is>
      </c>
      <c r="D259" s="14" t="inlineStr">
        <is>
          <t>CTCP Đầu tư Tổng hợp Hà Nội</t>
        </is>
      </c>
      <c r="E259" s="14" t="inlineStr">
        <is>
          <t>Tài nguyên Cơ bản</t>
        </is>
      </c>
      <c r="F259" s="14" t="inlineStr">
        <is>
          <t>Nguyên vật liệu</t>
        </is>
      </c>
      <c r="G259" s="13" t="inlineStr">
        <is>
          <t>Thành viên</t>
        </is>
      </c>
      <c r="H259" s="15" t="n">
        <v>109600</v>
      </c>
      <c r="I259" s="16" t="n">
        <v>7500</v>
      </c>
      <c r="J259" s="21" t="inlineStr">
        <is>
          <t>Cổ tức cổ phiếu</t>
        </is>
      </c>
      <c r="K259" s="13" t="inlineStr">
        <is>
          <t>Có</t>
        </is>
      </c>
      <c r="L259" s="12" t="inlineStr">
        <is>
          <t>Có</t>
        </is>
      </c>
      <c r="M259" s="14" t="inlineStr">
        <is>
          <t>2010</t>
        </is>
      </c>
      <c r="N259" s="14" t="inlineStr">
        <is>
          <t>2018, 2017, 2016</t>
        </is>
      </c>
      <c r="O259" s="14" t="inlineStr">
        <is>
          <t>Tiền mặt (2010); Cổ tức CP (2018, 2017, 2016)</t>
        </is>
      </c>
    </row>
    <row r="260" ht="22" customHeight="1">
      <c r="A260" s="4" t="n">
        <v>257</v>
      </c>
      <c r="B260" s="5" t="inlineStr">
        <is>
          <t>TLH</t>
        </is>
      </c>
      <c r="C260" s="4" t="inlineStr">
        <is>
          <t>HOSE</t>
        </is>
      </c>
      <c r="D260" s="6" t="inlineStr">
        <is>
          <t>CTCP Tập đoàn Thép Tiến Lên</t>
        </is>
      </c>
      <c r="E260" s="6" t="inlineStr">
        <is>
          <t>Tài nguyên Cơ bản</t>
        </is>
      </c>
      <c r="F260" s="6" t="inlineStr">
        <is>
          <t>Nguyên vật liệu</t>
        </is>
      </c>
      <c r="G260" s="4" t="inlineStr">
        <is>
          <t>Thành viên</t>
        </is>
      </c>
      <c r="H260" s="8" t="n">
        <v>105165</v>
      </c>
      <c r="I260" s="9" t="n">
        <v>3560</v>
      </c>
      <c r="J260" s="10" t="inlineStr">
        <is>
          <t>Cả tiền mặt &amp; cổ phiếu</t>
        </is>
      </c>
      <c r="K260" s="11" t="inlineStr">
        <is>
          <t>Hàng năm</t>
        </is>
      </c>
      <c r="L260" s="12" t="inlineStr">
        <is>
          <t>Có</t>
        </is>
      </c>
      <c r="M260" s="6" t="inlineStr">
        <is>
          <t>2023, 2021, 2020, 2018, 2016, 2015, 2013, 2010</t>
        </is>
      </c>
      <c r="N260" s="6" t="inlineStr">
        <is>
          <t>2023, 2018, 2017, 2015, 2012</t>
        </is>
      </c>
      <c r="O260" s="6" t="inlineStr">
        <is>
          <t>Tiền mặt hàng năm (2023, 2021, 2020, 2018, 2016, 2015, 2013, 2010); Cổ tức CP (2023, 2018, 2017, 2015, 2012)</t>
        </is>
      </c>
    </row>
    <row r="261" ht="22" customHeight="1">
      <c r="A261" s="13" t="n">
        <v>258</v>
      </c>
      <c r="B261" s="5" t="inlineStr">
        <is>
          <t>VGS</t>
        </is>
      </c>
      <c r="C261" s="13" t="inlineStr">
        <is>
          <t>HNX</t>
        </is>
      </c>
      <c r="D261" s="14" t="inlineStr">
        <is>
          <t>CTCP Ống thép Việt - Đức VG PIPE</t>
        </is>
      </c>
      <c r="E261" s="14" t="inlineStr">
        <is>
          <t>Tài nguyên Cơ bản</t>
        </is>
      </c>
      <c r="F261" s="14" t="inlineStr">
        <is>
          <t>Nguyên vật liệu</t>
        </is>
      </c>
      <c r="G261" s="13" t="inlineStr">
        <is>
          <t>Thành viên</t>
        </is>
      </c>
      <c r="H261" s="15" t="n">
        <v>100230</v>
      </c>
      <c r="I261" s="16" t="n">
        <v>16500</v>
      </c>
      <c r="J261" s="17" t="inlineStr">
        <is>
          <t>Cả tiền mặt &amp; cổ phiếu</t>
        </is>
      </c>
      <c r="K261" s="11" t="inlineStr">
        <is>
          <t>Hàng năm</t>
        </is>
      </c>
      <c r="L261" s="12" t="inlineStr">
        <is>
          <t>Có</t>
        </is>
      </c>
      <c r="M261" s="14" t="inlineStr">
        <is>
          <t>2026, 2021, 2020, 2017, 2016, 2015, 2014, 2013</t>
        </is>
      </c>
      <c r="N261" s="14" t="inlineStr">
        <is>
          <t>2025, 2024, 2023, 2022, 2019</t>
        </is>
      </c>
      <c r="O261" s="14" t="inlineStr">
        <is>
          <t>Tiền mặt hàng năm (2026, 2021, 2020, 2017, 2016, 2015, 2014, 2013); Cổ tức CP (2025, 2024, 2023, 2022, 2019)</t>
        </is>
      </c>
    </row>
    <row r="262" ht="22" customHeight="1">
      <c r="A262" s="4" t="n">
        <v>259</v>
      </c>
      <c r="B262" s="5" t="inlineStr">
        <is>
          <t>SMC</t>
        </is>
      </c>
      <c r="C262" s="4" t="inlineStr">
        <is>
          <t>HOSE</t>
        </is>
      </c>
      <c r="D262" s="6" t="inlineStr">
        <is>
          <t>CTCP Đầu tư Thương mại SMC</t>
        </is>
      </c>
      <c r="E262" s="6" t="inlineStr">
        <is>
          <t>Tài nguyên Cơ bản</t>
        </is>
      </c>
      <c r="F262" s="6" t="inlineStr">
        <is>
          <t>Nguyên vật liệu</t>
        </is>
      </c>
      <c r="G262" s="4" t="inlineStr">
        <is>
          <t>Thành viên</t>
        </is>
      </c>
      <c r="H262" s="8" t="n">
        <v>89340</v>
      </c>
      <c r="I262" s="9" t="n">
        <v>10000</v>
      </c>
      <c r="J262" s="10" t="inlineStr">
        <is>
          <t>Cả tiền mặt &amp; cổ phiếu</t>
        </is>
      </c>
      <c r="K262" s="11" t="inlineStr">
        <is>
          <t>Hàng năm</t>
        </is>
      </c>
      <c r="L262" s="12" t="inlineStr">
        <is>
          <t>Có</t>
        </is>
      </c>
      <c r="M262" s="6" t="inlineStr">
        <is>
          <t>2022, 2021, 2020, 2019, 2018, 2017, 2016, 2014</t>
        </is>
      </c>
      <c r="N262" s="6" t="inlineStr">
        <is>
          <t>2022, 2019, 2018, 2011</t>
        </is>
      </c>
      <c r="O262" s="6" t="inlineStr">
        <is>
          <t>Tiền mặt hàng năm (2022, 2021, 2020, 2019, 2018, 2017, 2016, 2014); Cổ tức CP (2022, 2019, 2018, 2011)</t>
        </is>
      </c>
    </row>
    <row r="263" ht="22" customHeight="1">
      <c r="A263" s="13" t="n">
        <v>260</v>
      </c>
      <c r="B263" s="5" t="inlineStr">
        <is>
          <t>HAP</t>
        </is>
      </c>
      <c r="C263" s="13" t="inlineStr">
        <is>
          <t>HOSE</t>
        </is>
      </c>
      <c r="D263" s="14" t="inlineStr">
        <is>
          <t>CTCP Tập đoàn Hapaco</t>
        </is>
      </c>
      <c r="E263" s="14" t="inlineStr">
        <is>
          <t>Tài nguyên Cơ bản</t>
        </is>
      </c>
      <c r="F263" s="14" t="inlineStr">
        <is>
          <t>Nguyên vật liệu</t>
        </is>
      </c>
      <c r="G263" s="13" t="inlineStr">
        <is>
          <t>Thành viên</t>
        </is>
      </c>
      <c r="H263" s="15" t="n">
        <v>50740</v>
      </c>
      <c r="I263" s="16" t="n">
        <v>7000</v>
      </c>
      <c r="J263" s="17" t="inlineStr">
        <is>
          <t>Cả tiền mặt &amp; cổ phiếu</t>
        </is>
      </c>
      <c r="K263" s="11" t="inlineStr">
        <is>
          <t>Hàng năm</t>
        </is>
      </c>
      <c r="L263" s="12" t="inlineStr">
        <is>
          <t>Có</t>
        </is>
      </c>
      <c r="M263" s="14" t="inlineStr">
        <is>
          <t>2023, 2022, 2021, 2020, 2019, 2017, 2016, 2015</t>
        </is>
      </c>
      <c r="N263" s="14" t="inlineStr">
        <is>
          <t>2016, 2015, 2013, 2012</t>
        </is>
      </c>
      <c r="O263" s="14" t="inlineStr">
        <is>
          <t>Tiền mặt hàng năm (2023, 2022, 2021, 2020, 2019, 2017, 2016, 2015); Cổ tức CP (2016, 2015, 2013, 2012)</t>
        </is>
      </c>
    </row>
    <row r="264" ht="22" customHeight="1">
      <c r="A264" s="4" t="n">
        <v>261</v>
      </c>
      <c r="B264" s="22" t="inlineStr">
        <is>
          <t>VGI</t>
        </is>
      </c>
      <c r="C264" s="4" t="inlineStr">
        <is>
          <t>UPCOM</t>
        </is>
      </c>
      <c r="D264" s="6" t="inlineStr">
        <is>
          <t>Tổng Công ty cổ phần Đầu tư Quốc tế Viettel</t>
        </is>
      </c>
      <c r="E264" s="6" t="inlineStr">
        <is>
          <t>Viễn thông</t>
        </is>
      </c>
      <c r="F264" s="6" t="inlineStr">
        <is>
          <t>Viễn thông</t>
        </is>
      </c>
      <c r="G264" s="7" t="inlineStr">
        <is>
          <t>⭐ Đầu ngành</t>
        </is>
      </c>
      <c r="H264" s="8" t="n">
        <v>266680</v>
      </c>
      <c r="I264" s="9" t="n">
        <v>80400</v>
      </c>
      <c r="J264" s="27" t="inlineStr">
        <is>
          <t>Tiền mặt hàng năm</t>
        </is>
      </c>
      <c r="K264" s="11" t="inlineStr">
        <is>
          <t>Hàng năm</t>
        </is>
      </c>
      <c r="L264" s="4" t="inlineStr">
        <is>
          <t>Không</t>
        </is>
      </c>
      <c r="M264" s="6" t="inlineStr">
        <is>
          <t>2026, 2025</t>
        </is>
      </c>
      <c r="N264" s="6" t="inlineStr">
        <is>
          <t>-</t>
        </is>
      </c>
      <c r="O264" s="6" t="inlineStr">
        <is>
          <t>Tiền mặt hàng năm (2026, 2025)</t>
        </is>
      </c>
    </row>
    <row r="265" ht="22" customHeight="1">
      <c r="A265" s="13" t="n">
        <v>262</v>
      </c>
      <c r="B265" s="5" t="inlineStr">
        <is>
          <t>FOX</t>
        </is>
      </c>
      <c r="C265" s="13" t="inlineStr">
        <is>
          <t>UPCOM</t>
        </is>
      </c>
      <c r="D265" s="14" t="inlineStr">
        <is>
          <t>CTCP Viễn thông FPT</t>
        </is>
      </c>
      <c r="E265" s="14" t="inlineStr">
        <is>
          <t>Viễn thông</t>
        </is>
      </c>
      <c r="F265" s="14" t="inlineStr">
        <is>
          <t>Viễn thông</t>
        </is>
      </c>
      <c r="G265" s="7" t="inlineStr">
        <is>
          <t>⭐ Đầu ngành</t>
        </is>
      </c>
      <c r="H265" s="15" t="n">
        <v>57905</v>
      </c>
      <c r="I265" s="16" t="n">
        <v>60700</v>
      </c>
      <c r="J265" s="17" t="inlineStr">
        <is>
          <t>Cả tiền mặt &amp; cổ phiếu</t>
        </is>
      </c>
      <c r="K265" s="11" t="inlineStr">
        <is>
          <t>Hàng năm</t>
        </is>
      </c>
      <c r="L265" s="12" t="inlineStr">
        <is>
          <t>Có</t>
        </is>
      </c>
      <c r="M265" s="14" t="inlineStr">
        <is>
          <t>2025, 2024, 2023, 2022, 2021, 2020, 2019, 2018</t>
        </is>
      </c>
      <c r="N265" s="14" t="inlineStr">
        <is>
          <t>2025, 2023, 2021, 2020, 2019, 2018, 2017</t>
        </is>
      </c>
      <c r="O265" s="14" t="inlineStr">
        <is>
          <t>Tiền mặt hàng năm (2025, 2024, 2023, 2022, 2021, 2020, 2019, 2018); Cổ tức CP (2025, 2023, 2021, 2020, 2019, 2018, 2017)</t>
        </is>
      </c>
    </row>
    <row r="266" ht="22" customHeight="1">
      <c r="A266" s="4" t="n">
        <v>263</v>
      </c>
      <c r="B266" s="5" t="inlineStr">
        <is>
          <t>CII</t>
        </is>
      </c>
      <c r="C266" s="4" t="inlineStr">
        <is>
          <t>HOSE</t>
        </is>
      </c>
      <c r="D266" s="6" t="inlineStr">
        <is>
          <t>CTCP Đầu tư Hạ tầng Kỹ thuật Thành phố Hồ Chí Minh</t>
        </is>
      </c>
      <c r="E266" s="6" t="inlineStr">
        <is>
          <t>Xây dựng và Vật liệu</t>
        </is>
      </c>
      <c r="F266" s="6" t="inlineStr">
        <is>
          <t>Công nghiệp</t>
        </is>
      </c>
      <c r="G266" s="7" t="inlineStr">
        <is>
          <t>⭐ Đầu ngành</t>
        </is>
      </c>
      <c r="H266" s="8" t="n">
        <v>9216015</v>
      </c>
      <c r="I266" s="9" t="n">
        <v>12900</v>
      </c>
      <c r="J266" s="10" t="inlineStr">
        <is>
          <t>Cả tiền mặt &amp; cổ phiếu</t>
        </is>
      </c>
      <c r="K266" s="11" t="inlineStr">
        <is>
          <t>Hàng năm</t>
        </is>
      </c>
      <c r="L266" s="12" t="inlineStr">
        <is>
          <t>Có</t>
        </is>
      </c>
      <c r="M266" s="6" t="inlineStr">
        <is>
          <t>2025, 2024, 2023, 2020, 2017, 2016, 2015, 2014</t>
        </is>
      </c>
      <c r="N266" s="6" t="inlineStr">
        <is>
          <t>2025, 2012</t>
        </is>
      </c>
      <c r="O266" s="6" t="inlineStr">
        <is>
          <t>Tiền mặt hàng năm (2025, 2024, 2023, 2020, 2017, 2016, 2015, 2014); Cổ tức CP (2025, 2012)</t>
        </is>
      </c>
    </row>
    <row r="267" ht="22" customHeight="1">
      <c r="A267" s="13" t="n">
        <v>264</v>
      </c>
      <c r="B267" s="5" t="inlineStr">
        <is>
          <t>HHV</t>
        </is>
      </c>
      <c r="C267" s="13" t="inlineStr">
        <is>
          <t>HOSE</t>
        </is>
      </c>
      <c r="D267" s="14" t="inlineStr">
        <is>
          <t>CTCP Đầu tư Hạ tầng Giao thông Đèo Cả</t>
        </is>
      </c>
      <c r="E267" s="14" t="inlineStr">
        <is>
          <t>Xây dựng và Vật liệu</t>
        </is>
      </c>
      <c r="F267" s="14" t="inlineStr">
        <is>
          <t>Công nghiệp</t>
        </is>
      </c>
      <c r="G267" s="7" t="inlineStr">
        <is>
          <t>⭐ Đầu ngành</t>
        </is>
      </c>
      <c r="H267" s="15" t="n">
        <v>2585770</v>
      </c>
      <c r="I267" s="16" t="n">
        <v>9410</v>
      </c>
      <c r="J267" s="17" t="inlineStr">
        <is>
          <t>Cả tiền mặt &amp; cổ phiếu</t>
        </is>
      </c>
      <c r="K267" s="11" t="inlineStr">
        <is>
          <t>Hàng năm</t>
        </is>
      </c>
      <c r="L267" s="12" t="inlineStr">
        <is>
          <t>Có</t>
        </is>
      </c>
      <c r="M267" s="14" t="inlineStr">
        <is>
          <t>2019, 2018, 2017</t>
        </is>
      </c>
      <c r="N267" s="14" t="inlineStr">
        <is>
          <t>2026, 2025, 2024, 2023</t>
        </is>
      </c>
      <c r="O267" s="14" t="inlineStr">
        <is>
          <t>Tiền mặt hàng năm (2019, 2018, 2017); Cổ tức CP (2026, 2025, 2024, 2023)</t>
        </is>
      </c>
    </row>
    <row r="268" ht="22" customHeight="1">
      <c r="A268" s="4" t="n">
        <v>265</v>
      </c>
      <c r="B268" s="5" t="inlineStr">
        <is>
          <t>VCG</t>
        </is>
      </c>
      <c r="C268" s="4" t="inlineStr">
        <is>
          <t>HOSE</t>
        </is>
      </c>
      <c r="D268" s="6" t="inlineStr">
        <is>
          <t>Tổng Công ty cổ phần Xuất nhập khẩu và Xây dựng Việt Nam</t>
        </is>
      </c>
      <c r="E268" s="6" t="inlineStr">
        <is>
          <t>Xây dựng và Vật liệu</t>
        </is>
      </c>
      <c r="F268" s="6" t="inlineStr">
        <is>
          <t>Công nghiệp</t>
        </is>
      </c>
      <c r="G268" s="7" t="inlineStr">
        <is>
          <t>⭐ Đầu ngành</t>
        </is>
      </c>
      <c r="H268" s="8" t="n">
        <v>2189115</v>
      </c>
      <c r="I268" s="9" t="n">
        <v>14400</v>
      </c>
      <c r="J268" s="10" t="inlineStr">
        <is>
          <t>Cả tiền mặt &amp; cổ phiếu</t>
        </is>
      </c>
      <c r="K268" s="11" t="inlineStr">
        <is>
          <t>Hàng năm</t>
        </is>
      </c>
      <c r="L268" s="12" t="inlineStr">
        <is>
          <t>Có</t>
        </is>
      </c>
      <c r="M268" s="6" t="inlineStr">
        <is>
          <t>2026, 2025, 2022, 2021, 2019, 2018, 2017, 2016</t>
        </is>
      </c>
      <c r="N268" s="6" t="inlineStr">
        <is>
          <t>2026, 2025, 2024, 2023, 2022, 2021</t>
        </is>
      </c>
      <c r="O268" s="6" t="inlineStr">
        <is>
          <t>Tiền mặt hàng năm (2026, 2025, 2022, 2021, 2019, 2018, 2017, 2016); Cổ tức CP (2026, 2025, 2024, 2023, 2022, 2021)</t>
        </is>
      </c>
    </row>
    <row r="269" ht="22" customHeight="1">
      <c r="A269" s="13" t="n">
        <v>266</v>
      </c>
      <c r="B269" s="20" t="inlineStr">
        <is>
          <t>PC1</t>
        </is>
      </c>
      <c r="C269" s="13" t="inlineStr">
        <is>
          <t>HOSE</t>
        </is>
      </c>
      <c r="D269" s="14" t="inlineStr">
        <is>
          <t>CTCP Tập Đoàn PC1</t>
        </is>
      </c>
      <c r="E269" s="14" t="inlineStr">
        <is>
          <t>Xây dựng và Vật liệu</t>
        </is>
      </c>
      <c r="F269" s="14" t="inlineStr">
        <is>
          <t>Công nghiệp</t>
        </is>
      </c>
      <c r="G269" s="7" t="inlineStr">
        <is>
          <t>⭐ Đầu ngành</t>
        </is>
      </c>
      <c r="H269" s="15" t="n">
        <v>1403710</v>
      </c>
      <c r="I269" s="16" t="n">
        <v>20050</v>
      </c>
      <c r="J269" s="21" t="inlineStr">
        <is>
          <t>Cổ tức cổ phiếu</t>
        </is>
      </c>
      <c r="K269" s="13" t="inlineStr">
        <is>
          <t>Không</t>
        </is>
      </c>
      <c r="L269" s="12" t="inlineStr">
        <is>
          <t>Có</t>
        </is>
      </c>
      <c r="M269" s="14" t="inlineStr">
        <is>
          <t>-</t>
        </is>
      </c>
      <c r="N269" s="14" t="inlineStr">
        <is>
          <t>2025, 2024, 2023, 2022, 2021, 2020, 2019, 2018</t>
        </is>
      </c>
      <c r="O269" s="14" t="inlineStr">
        <is>
          <t>Cổ tức CP (2025, 2024, 2023, 2022, 2021, 2020, 2019, 2018)</t>
        </is>
      </c>
    </row>
    <row r="270" ht="22" customHeight="1">
      <c r="A270" s="4" t="n">
        <v>267</v>
      </c>
      <c r="B270" s="5" t="inlineStr">
        <is>
          <t>KSB</t>
        </is>
      </c>
      <c r="C270" s="4" t="inlineStr">
        <is>
          <t>HOSE</t>
        </is>
      </c>
      <c r="D270" s="6" t="inlineStr">
        <is>
          <t>CTCP Khoáng sản và Xây dựng Bình Dương</t>
        </is>
      </c>
      <c r="E270" s="6" t="inlineStr">
        <is>
          <t>Xây dựng và Vật liệu</t>
        </is>
      </c>
      <c r="F270" s="6" t="inlineStr">
        <is>
          <t>Công nghiệp</t>
        </is>
      </c>
      <c r="G270" s="7" t="inlineStr">
        <is>
          <t>⭐ Đầu ngành</t>
        </is>
      </c>
      <c r="H270" s="8" t="n">
        <v>556390</v>
      </c>
      <c r="I270" s="9" t="n">
        <v>13200</v>
      </c>
      <c r="J270" s="10" t="inlineStr">
        <is>
          <t>Cả tiền mặt &amp; cổ phiếu</t>
        </is>
      </c>
      <c r="K270" s="11" t="inlineStr">
        <is>
          <t>Hàng năm</t>
        </is>
      </c>
      <c r="L270" s="12" t="inlineStr">
        <is>
          <t>Có</t>
        </is>
      </c>
      <c r="M270" s="6" t="inlineStr">
        <is>
          <t>2018, 2017, 2016, 2015, 2014, 2013, 2011, 2010</t>
        </is>
      </c>
      <c r="N270" s="6" t="inlineStr">
        <is>
          <t>2021, 2020, 2018, 2017, 2015, 2012</t>
        </is>
      </c>
      <c r="O270" s="6" t="inlineStr">
        <is>
          <t>Tiền mặt hàng năm (2018, 2017, 2016, 2015, 2014, 2013, 2011, 2010); Cổ tức CP (2021, 2020, 2018, 2017, 2015, 2012)</t>
        </is>
      </c>
    </row>
    <row r="271" ht="22" customHeight="1">
      <c r="A271" s="13" t="n">
        <v>268</v>
      </c>
      <c r="B271" s="5" t="inlineStr">
        <is>
          <t>DPG</t>
        </is>
      </c>
      <c r="C271" s="13" t="inlineStr">
        <is>
          <t>HOSE</t>
        </is>
      </c>
      <c r="D271" s="14" t="inlineStr">
        <is>
          <t>CTCP Tập đoàn Đạt Phương</t>
        </is>
      </c>
      <c r="E271" s="14" t="inlineStr">
        <is>
          <t>Xây dựng và Vật liệu</t>
        </is>
      </c>
      <c r="F271" s="14" t="inlineStr">
        <is>
          <t>Công nghiệp</t>
        </is>
      </c>
      <c r="G271" s="7" t="inlineStr">
        <is>
          <t>⭐ Đầu ngành</t>
        </is>
      </c>
      <c r="H271" s="15" t="n">
        <v>345555</v>
      </c>
      <c r="I271" s="16" t="n">
        <v>27100</v>
      </c>
      <c r="J271" s="17" t="inlineStr">
        <is>
          <t>Cả tiền mặt &amp; cổ phiếu</t>
        </is>
      </c>
      <c r="K271" s="11" t="inlineStr">
        <is>
          <t>Hàng năm</t>
        </is>
      </c>
      <c r="L271" s="12" t="inlineStr">
        <is>
          <t>Có</t>
        </is>
      </c>
      <c r="M271" s="14" t="inlineStr">
        <is>
          <t>2026, 2025, 2024, 2023, 2022, 2021, 2020, 2019</t>
        </is>
      </c>
      <c r="N271" s="14" t="inlineStr">
        <is>
          <t>2025, 2021, 2019, 2018, 2017</t>
        </is>
      </c>
      <c r="O271" s="14" t="inlineStr">
        <is>
          <t>Tiền mặt hàng năm (2026, 2025, 2024, 2023, 2022, 2021, 2020, 2019); Cổ tức CP (2025, 2021, 2019, 2018, 2017)</t>
        </is>
      </c>
    </row>
    <row r="272" ht="22" customHeight="1">
      <c r="A272" s="4" t="n">
        <v>269</v>
      </c>
      <c r="B272" s="22" t="inlineStr">
        <is>
          <t>VGC</t>
        </is>
      </c>
      <c r="C272" s="4" t="inlineStr">
        <is>
          <t>HOSE</t>
        </is>
      </c>
      <c r="D272" s="6" t="inlineStr">
        <is>
          <t>Tổng Công ty Viglacera - CTCP</t>
        </is>
      </c>
      <c r="E272" s="6" t="inlineStr">
        <is>
          <t>Xây dựng và Vật liệu</t>
        </is>
      </c>
      <c r="F272" s="6" t="inlineStr">
        <is>
          <t>Công nghiệp</t>
        </is>
      </c>
      <c r="G272" s="7" t="inlineStr">
        <is>
          <t>⭐ Đầu ngành</t>
        </is>
      </c>
      <c r="H272" s="8" t="n">
        <v>318600</v>
      </c>
      <c r="I272" s="9" t="n">
        <v>40500</v>
      </c>
      <c r="J272" s="27" t="inlineStr">
        <is>
          <t>Tiền mặt hàng năm</t>
        </is>
      </c>
      <c r="K272" s="11" t="inlineStr">
        <is>
          <t>Hàng năm</t>
        </is>
      </c>
      <c r="L272" s="4" t="inlineStr">
        <is>
          <t>Không</t>
        </is>
      </c>
      <c r="M272" s="6" t="inlineStr">
        <is>
          <t>2026, 2025, 2024, 2023, 2022, 2021, 2020, 2019</t>
        </is>
      </c>
      <c r="N272" s="6" t="inlineStr">
        <is>
          <t>-</t>
        </is>
      </c>
      <c r="O272" s="6" t="inlineStr">
        <is>
          <t>Tiền mặt hàng năm (2026, 2025, 2024, 2023, 2022, 2021, 2020, 2019)</t>
        </is>
      </c>
    </row>
    <row r="273" ht="22" customHeight="1">
      <c r="A273" s="13" t="n">
        <v>270</v>
      </c>
      <c r="B273" s="5" t="inlineStr">
        <is>
          <t>CTD</t>
        </is>
      </c>
      <c r="C273" s="13" t="inlineStr">
        <is>
          <t>HOSE</t>
        </is>
      </c>
      <c r="D273" s="14" t="inlineStr">
        <is>
          <t>CTCP Xây dựng Coteccons</t>
        </is>
      </c>
      <c r="E273" s="14" t="inlineStr">
        <is>
          <t>Xây dựng và Vật liệu</t>
        </is>
      </c>
      <c r="F273" s="14" t="inlineStr">
        <is>
          <t>Công nghiệp</t>
        </is>
      </c>
      <c r="G273" s="7" t="inlineStr">
        <is>
          <t>⭐ Đầu ngành</t>
        </is>
      </c>
      <c r="H273" s="15" t="n">
        <v>231110</v>
      </c>
      <c r="I273" s="16" t="n">
        <v>59000</v>
      </c>
      <c r="J273" s="17" t="inlineStr">
        <is>
          <t>Cả tiền mặt &amp; cổ phiếu</t>
        </is>
      </c>
      <c r="K273" s="11" t="inlineStr">
        <is>
          <t>Hàng năm</t>
        </is>
      </c>
      <c r="L273" s="12" t="inlineStr">
        <is>
          <t>Có</t>
        </is>
      </c>
      <c r="M273" s="14" t="inlineStr">
        <is>
          <t>2025, 2024, 2021, 2020, 2019, 2018, 2017, 2016</t>
        </is>
      </c>
      <c r="N273" s="14" t="inlineStr">
        <is>
          <t>2026, 2025, 2023, 2016</t>
        </is>
      </c>
      <c r="O273" s="14" t="inlineStr">
        <is>
          <t>Tiền mặt hàng năm (2025, 2024, 2021, 2020, 2019, 2018, 2017, 2016); Cổ tức CP (2026, 2025, 2023, 2016)</t>
        </is>
      </c>
    </row>
    <row r="274" ht="22" customHeight="1">
      <c r="A274" s="4" t="n">
        <v>271</v>
      </c>
      <c r="B274" s="5" t="inlineStr">
        <is>
          <t>NTP</t>
        </is>
      </c>
      <c r="C274" s="4" t="inlineStr">
        <is>
          <t>HNX</t>
        </is>
      </c>
      <c r="D274" s="6" t="inlineStr">
        <is>
          <t>CTCP Nhựa Thiếu niên Tiền Phong</t>
        </is>
      </c>
      <c r="E274" s="6" t="inlineStr">
        <is>
          <t>Xây dựng và Vật liệu</t>
        </is>
      </c>
      <c r="F274" s="6" t="inlineStr">
        <is>
          <t>Công nghiệp</t>
        </is>
      </c>
      <c r="G274" s="7" t="inlineStr">
        <is>
          <t>⭐ Đầu ngành</t>
        </is>
      </c>
      <c r="H274" s="8" t="n">
        <v>213430</v>
      </c>
      <c r="I274" s="9" t="n">
        <v>52500</v>
      </c>
      <c r="J274" s="10" t="inlineStr">
        <is>
          <t>Cả tiền mặt &amp; cổ phiếu</t>
        </is>
      </c>
      <c r="K274" s="11" t="inlineStr">
        <is>
          <t>Hàng năm</t>
        </is>
      </c>
      <c r="L274" s="12" t="inlineStr">
        <is>
          <t>Có</t>
        </is>
      </c>
      <c r="M274" s="6" t="inlineStr">
        <is>
          <t>2026, 2025, 2024, 2023, 2022, 2021, 2020, 2019</t>
        </is>
      </c>
      <c r="N274" s="6" t="inlineStr">
        <is>
          <t>2026, 2025, 2024, 2022, 2020, 2019, 2017, 2016</t>
        </is>
      </c>
      <c r="O274" s="6" t="inlineStr">
        <is>
          <t>Tiền mặt hàng năm (2026, 2025, 2024, 2023, 2022, 2021, 2020, 2019); Cổ tức CP (2026, 2025, 2024, 2022, 2020, 2019, 2017, 2016)</t>
        </is>
      </c>
    </row>
    <row r="275" ht="22" customHeight="1">
      <c r="A275" s="13" t="n">
        <v>272</v>
      </c>
      <c r="B275" s="5" t="inlineStr">
        <is>
          <t>HT1</t>
        </is>
      </c>
      <c r="C275" s="13" t="inlineStr">
        <is>
          <t>HOSE</t>
        </is>
      </c>
      <c r="D275" s="14" t="inlineStr">
        <is>
          <t>CTCP Xi Măng Vicem Hà Tiên</t>
        </is>
      </c>
      <c r="E275" s="14" t="inlineStr">
        <is>
          <t>Xây dựng và Vật liệu</t>
        </is>
      </c>
      <c r="F275" s="14" t="inlineStr">
        <is>
          <t>Công nghiệp</t>
        </is>
      </c>
      <c r="G275" s="7" t="inlineStr">
        <is>
          <t>⭐ Đầu ngành</t>
        </is>
      </c>
      <c r="H275" s="15" t="n">
        <v>188435</v>
      </c>
      <c r="I275" s="16" t="n">
        <v>11800</v>
      </c>
      <c r="J275" s="17" t="inlineStr">
        <is>
          <t>Cả tiền mặt &amp; cổ phiếu</t>
        </is>
      </c>
      <c r="K275" s="11" t="inlineStr">
        <is>
          <t>Hàng năm</t>
        </is>
      </c>
      <c r="L275" s="12" t="inlineStr">
        <is>
          <t>Có</t>
        </is>
      </c>
      <c r="M275" s="14" t="inlineStr">
        <is>
          <t>2026, 2025, 2023, 2022, 2021, 2020, 2019, 2017</t>
        </is>
      </c>
      <c r="N275" s="14" t="inlineStr">
        <is>
          <t>2016</t>
        </is>
      </c>
      <c r="O275" s="14" t="inlineStr">
        <is>
          <t>Tiền mặt hàng năm (2026, 2025, 2023, 2022, 2021, 2020, 2019, 2017); Cổ tức CP (2016)</t>
        </is>
      </c>
    </row>
    <row r="276" ht="22" customHeight="1">
      <c r="A276" s="4" t="n">
        <v>273</v>
      </c>
      <c r="B276" s="5" t="inlineStr">
        <is>
          <t>BMP</t>
        </is>
      </c>
      <c r="C276" s="4" t="inlineStr">
        <is>
          <t>HOSE</t>
        </is>
      </c>
      <c r="D276" s="6" t="inlineStr">
        <is>
          <t>CTCP Nhựa Bình Minh</t>
        </is>
      </c>
      <c r="E276" s="6" t="inlineStr">
        <is>
          <t>Xây dựng và Vật liệu</t>
        </is>
      </c>
      <c r="F276" s="6" t="inlineStr">
        <is>
          <t>Công nghiệp</t>
        </is>
      </c>
      <c r="G276" s="7" t="inlineStr">
        <is>
          <t>⭐ Đầu ngành</t>
        </is>
      </c>
      <c r="H276" s="8" t="n">
        <v>73200</v>
      </c>
      <c r="I276" s="9" t="n">
        <v>143500</v>
      </c>
      <c r="J276" s="10" t="inlineStr">
        <is>
          <t>Cả tiền mặt &amp; cổ phiếu</t>
        </is>
      </c>
      <c r="K276" s="11" t="inlineStr">
        <is>
          <t>Hàng năm</t>
        </is>
      </c>
      <c r="L276" s="12" t="inlineStr">
        <is>
          <t>Có</t>
        </is>
      </c>
      <c r="M276" s="6" t="inlineStr">
        <is>
          <t>2026, 2025, 2024, 2023, 2022, 2021, 2020, 2019</t>
        </is>
      </c>
      <c r="N276" s="6" t="inlineStr">
        <is>
          <t>2017</t>
        </is>
      </c>
      <c r="O276" s="6" t="inlineStr">
        <is>
          <t>Tiền mặt hàng năm (2026, 2025, 2024, 2023, 2022, 2021, 2020, 2019); Cổ tức CP (2017)</t>
        </is>
      </c>
    </row>
    <row r="277" ht="22" customHeight="1">
      <c r="A277" s="13" t="n">
        <v>274</v>
      </c>
      <c r="B277" s="25" t="inlineStr">
        <is>
          <t>GEL</t>
        </is>
      </c>
      <c r="C277" s="13" t="inlineStr">
        <is>
          <t>HOSE</t>
        </is>
      </c>
      <c r="D277" s="14" t="inlineStr">
        <is>
          <t>CTCP Hạ tầng GELEX</t>
        </is>
      </c>
      <c r="E277" s="14" t="inlineStr">
        <is>
          <t>Xây dựng và Vật liệu</t>
        </is>
      </c>
      <c r="F277" s="14" t="inlineStr">
        <is>
          <t>Công nghiệp</t>
        </is>
      </c>
      <c r="G277" s="13" t="inlineStr">
        <is>
          <t>Thành viên</t>
        </is>
      </c>
      <c r="H277" s="15" t="n">
        <v>2012675</v>
      </c>
      <c r="I277" s="16" t="n">
        <v>29000</v>
      </c>
      <c r="J277" s="26" t="inlineStr">
        <is>
          <t>Chưa chia / Khác</t>
        </is>
      </c>
      <c r="K277" s="13" t="inlineStr">
        <is>
          <t>Không</t>
        </is>
      </c>
      <c r="L277" s="13" t="inlineStr">
        <is>
          <t>Không</t>
        </is>
      </c>
      <c r="M277" s="14" t="inlineStr">
        <is>
          <t>-</t>
        </is>
      </c>
      <c r="N277" s="14" t="inlineStr">
        <is>
          <t>-</t>
        </is>
      </c>
      <c r="O277" s="14" t="inlineStr">
        <is>
          <t>Chưa có lịch sử chia cổ tức</t>
        </is>
      </c>
    </row>
    <row r="278" ht="22" customHeight="1">
      <c r="A278" s="4" t="n">
        <v>275</v>
      </c>
      <c r="B278" s="5" t="inlineStr">
        <is>
          <t>TCD</t>
        </is>
      </c>
      <c r="C278" s="4" t="inlineStr">
        <is>
          <t>UPCOM</t>
        </is>
      </c>
      <c r="D278" s="6" t="inlineStr">
        <is>
          <t>CTCP Tập đoàn Xây dựng TRACODI</t>
        </is>
      </c>
      <c r="E278" s="6" t="inlineStr">
        <is>
          <t>Xây dựng và Vật liệu</t>
        </is>
      </c>
      <c r="F278" s="6" t="inlineStr">
        <is>
          <t>Công nghiệp</t>
        </is>
      </c>
      <c r="G278" s="4" t="inlineStr">
        <is>
          <t>Thành viên</t>
        </is>
      </c>
      <c r="H278" s="8" t="n">
        <v>1415671.428571429</v>
      </c>
      <c r="I278" s="9" t="n">
        <v>900</v>
      </c>
      <c r="J278" s="10" t="inlineStr">
        <is>
          <t>Cả tiền mặt &amp; cổ phiếu</t>
        </is>
      </c>
      <c r="K278" s="11" t="inlineStr">
        <is>
          <t>Hàng năm</t>
        </is>
      </c>
      <c r="L278" s="12" t="inlineStr">
        <is>
          <t>Có</t>
        </is>
      </c>
      <c r="M278" s="6" t="inlineStr">
        <is>
          <t>2021, 2020, 2019</t>
        </is>
      </c>
      <c r="N278" s="6" t="inlineStr">
        <is>
          <t>2024, 2023, 2021, 2020, 2019, 2018, 2017</t>
        </is>
      </c>
      <c r="O278" s="6" t="inlineStr">
        <is>
          <t>Tiền mặt hàng năm (2021, 2020, 2019); Cổ tức CP (2024, 2023, 2021, 2020, 2019, 2018, 2017)</t>
        </is>
      </c>
    </row>
    <row r="279" ht="22" customHeight="1">
      <c r="A279" s="13" t="n">
        <v>276</v>
      </c>
      <c r="B279" s="20" t="inlineStr">
        <is>
          <t>MST</t>
        </is>
      </c>
      <c r="C279" s="13" t="inlineStr">
        <is>
          <t>HNX</t>
        </is>
      </c>
      <c r="D279" s="14" t="inlineStr">
        <is>
          <t>CTCP Đầu tư MST</t>
        </is>
      </c>
      <c r="E279" s="14" t="inlineStr">
        <is>
          <t>Xây dựng và Vật liệu</t>
        </is>
      </c>
      <c r="F279" s="14" t="inlineStr">
        <is>
          <t>Công nghiệp</t>
        </is>
      </c>
      <c r="G279" s="13" t="inlineStr">
        <is>
          <t>Thành viên</t>
        </is>
      </c>
      <c r="H279" s="15" t="n">
        <v>1135300</v>
      </c>
      <c r="I279" s="16" t="n">
        <v>9500</v>
      </c>
      <c r="J279" s="21" t="inlineStr">
        <is>
          <t>Cổ tức cổ phiếu</t>
        </is>
      </c>
      <c r="K279" s="13" t="inlineStr">
        <is>
          <t>Có</t>
        </is>
      </c>
      <c r="L279" s="12" t="inlineStr">
        <is>
          <t>Có</t>
        </is>
      </c>
      <c r="M279" s="14" t="inlineStr">
        <is>
          <t>2021</t>
        </is>
      </c>
      <c r="N279" s="14" t="inlineStr">
        <is>
          <t>2025, 2023, 2021, 2018</t>
        </is>
      </c>
      <c r="O279" s="14" t="inlineStr">
        <is>
          <t>Tiền mặt (2021); Cổ tức CP (2025, 2023, 2021, 2018)</t>
        </is>
      </c>
    </row>
    <row r="280" ht="22" customHeight="1">
      <c r="A280" s="4" t="n">
        <v>277</v>
      </c>
      <c r="B280" s="20" t="inlineStr">
        <is>
          <t>PVX</t>
        </is>
      </c>
      <c r="C280" s="4" t="inlineStr">
        <is>
          <t>UPCOM</t>
        </is>
      </c>
      <c r="D280" s="6" t="inlineStr">
        <is>
          <t>Tổng Công ty cổ phần Xây lắp Dầu khí Việt Nam</t>
        </is>
      </c>
      <c r="E280" s="6" t="inlineStr">
        <is>
          <t>Xây dựng và Vật liệu</t>
        </is>
      </c>
      <c r="F280" s="6" t="inlineStr">
        <is>
          <t>Công nghiệp</t>
        </is>
      </c>
      <c r="G280" s="4" t="inlineStr">
        <is>
          <t>Thành viên</t>
        </is>
      </c>
      <c r="H280" s="8" t="n">
        <v>1098442.857142857</v>
      </c>
      <c r="I280" s="9" t="n">
        <v>1600</v>
      </c>
      <c r="J280" s="24" t="inlineStr">
        <is>
          <t>Cổ tức cổ phiếu</t>
        </is>
      </c>
      <c r="K280" s="4" t="inlineStr">
        <is>
          <t>Có</t>
        </is>
      </c>
      <c r="L280" s="12" t="inlineStr">
        <is>
          <t>Có</t>
        </is>
      </c>
      <c r="M280" s="6" t="inlineStr">
        <is>
          <t>2010</t>
        </is>
      </c>
      <c r="N280" s="6" t="inlineStr">
        <is>
          <t>2011</t>
        </is>
      </c>
      <c r="O280" s="6" t="inlineStr">
        <is>
          <t>Tiền mặt (2010); Cổ tức CP (2011)</t>
        </is>
      </c>
    </row>
    <row r="281" ht="22" customHeight="1">
      <c r="A281" s="13" t="n">
        <v>278</v>
      </c>
      <c r="B281" s="5" t="inlineStr">
        <is>
          <t>LCG</t>
        </is>
      </c>
      <c r="C281" s="13" t="inlineStr">
        <is>
          <t>HOSE</t>
        </is>
      </c>
      <c r="D281" s="14" t="inlineStr">
        <is>
          <t>CTCP Lizen</t>
        </is>
      </c>
      <c r="E281" s="14" t="inlineStr">
        <is>
          <t>Xây dựng và Vật liệu</t>
        </is>
      </c>
      <c r="F281" s="14" t="inlineStr">
        <is>
          <t>Công nghiệp</t>
        </is>
      </c>
      <c r="G281" s="13" t="inlineStr">
        <is>
          <t>Thành viên</t>
        </is>
      </c>
      <c r="H281" s="15" t="n">
        <v>849740</v>
      </c>
      <c r="I281" s="16" t="n">
        <v>6780</v>
      </c>
      <c r="J281" s="17" t="inlineStr">
        <is>
          <t>Cả tiền mặt &amp; cổ phiếu</t>
        </is>
      </c>
      <c r="K281" s="11" t="inlineStr">
        <is>
          <t>Hàng năm</t>
        </is>
      </c>
      <c r="L281" s="12" t="inlineStr">
        <is>
          <t>Có</t>
        </is>
      </c>
      <c r="M281" s="14" t="inlineStr">
        <is>
          <t>2026, 2024, 2023, 2021, 2019, 2017, 2010, 2008</t>
        </is>
      </c>
      <c r="N281" s="14" t="inlineStr">
        <is>
          <t>2025, 2022, 2021, 2020, 2019</t>
        </is>
      </c>
      <c r="O281" s="14" t="inlineStr">
        <is>
          <t>Tiền mặt hàng năm (2026, 2024, 2023, 2021, 2019, 2017, 2010, 2008); Cổ tức CP (2025, 2022, 2021, 2020, 2019)</t>
        </is>
      </c>
    </row>
    <row r="282" ht="22" customHeight="1">
      <c r="A282" s="4" t="n">
        <v>279</v>
      </c>
      <c r="B282" s="20" t="inlineStr">
        <is>
          <t>HID</t>
        </is>
      </c>
      <c r="C282" s="4" t="inlineStr">
        <is>
          <t>HOSE</t>
        </is>
      </c>
      <c r="D282" s="6" t="inlineStr">
        <is>
          <t>CTCP Halcom Việt Nam</t>
        </is>
      </c>
      <c r="E282" s="6" t="inlineStr">
        <is>
          <t>Xây dựng và Vật liệu</t>
        </is>
      </c>
      <c r="F282" s="6" t="inlineStr">
        <is>
          <t>Công nghiệp</t>
        </is>
      </c>
      <c r="G282" s="4" t="inlineStr">
        <is>
          <t>Thành viên</t>
        </is>
      </c>
      <c r="H282" s="8" t="n">
        <v>709285</v>
      </c>
      <c r="I282" s="9" t="n">
        <v>5650</v>
      </c>
      <c r="J282" s="24" t="inlineStr">
        <is>
          <t>Cổ tức cổ phiếu</t>
        </is>
      </c>
      <c r="K282" s="4" t="inlineStr">
        <is>
          <t>Có</t>
        </is>
      </c>
      <c r="L282" s="12" t="inlineStr">
        <is>
          <t>Có</t>
        </is>
      </c>
      <c r="M282" s="6" t="inlineStr">
        <is>
          <t>2020, 2018</t>
        </is>
      </c>
      <c r="N282" s="6" t="inlineStr">
        <is>
          <t>2019, 2018, 2016</t>
        </is>
      </c>
      <c r="O282" s="6" t="inlineStr">
        <is>
          <t>Tiền mặt (2020, 2018); Cổ tức CP (2019, 2018, 2016)</t>
        </is>
      </c>
    </row>
    <row r="283" ht="22" customHeight="1">
      <c r="A283" s="13" t="n">
        <v>280</v>
      </c>
      <c r="B283" s="5" t="inlineStr">
        <is>
          <t>HBC</t>
        </is>
      </c>
      <c r="C283" s="13" t="inlineStr">
        <is>
          <t>UPCOM</t>
        </is>
      </c>
      <c r="D283" s="14" t="inlineStr">
        <is>
          <t>CTCP Tập đoàn Xây dựng Hòa Bình</t>
        </is>
      </c>
      <c r="E283" s="14" t="inlineStr">
        <is>
          <t>Xây dựng và Vật liệu</t>
        </is>
      </c>
      <c r="F283" s="14" t="inlineStr">
        <is>
          <t>Công nghiệp</t>
        </is>
      </c>
      <c r="G283" s="13" t="inlineStr">
        <is>
          <t>Thành viên</t>
        </is>
      </c>
      <c r="H283" s="15" t="n">
        <v>675440</v>
      </c>
      <c r="I283" s="16" t="n">
        <v>3600</v>
      </c>
      <c r="J283" s="17" t="inlineStr">
        <is>
          <t>Cả tiền mặt &amp; cổ phiếu</t>
        </is>
      </c>
      <c r="K283" s="11" t="inlineStr">
        <is>
          <t>Hàng năm</t>
        </is>
      </c>
      <c r="L283" s="12" t="inlineStr">
        <is>
          <t>Có</t>
        </is>
      </c>
      <c r="M283" s="14" t="inlineStr">
        <is>
          <t>2022, 2020, 2019, 2018, 2017, 2015, 2014, 2013</t>
        </is>
      </c>
      <c r="N283" s="14" t="inlineStr">
        <is>
          <t>2022, 2021, 2019, 2018, 2017, 2016, 2015, 2012</t>
        </is>
      </c>
      <c r="O283" s="14" t="inlineStr">
        <is>
          <t>Tiền mặt hàng năm (2022, 2020, 2019, 2018, 2017, 2015, 2014, 2013); Cổ tức CP (2022, 2021, 2019, 2018, 2017, 2016, 2015, 2012)</t>
        </is>
      </c>
    </row>
    <row r="284" ht="22" customHeight="1">
      <c r="A284" s="4" t="n">
        <v>281</v>
      </c>
      <c r="B284" s="18" t="inlineStr">
        <is>
          <t>DFF</t>
        </is>
      </c>
      <c r="C284" s="4" t="inlineStr">
        <is>
          <t>UPCOM</t>
        </is>
      </c>
      <c r="D284" s="6" t="inlineStr">
        <is>
          <t>CTCP Tập đoàn Đua Fat</t>
        </is>
      </c>
      <c r="E284" s="6" t="inlineStr">
        <is>
          <t>Xây dựng và Vật liệu</t>
        </is>
      </c>
      <c r="F284" s="6" t="inlineStr">
        <is>
          <t>Công nghiệp</t>
        </is>
      </c>
      <c r="G284" s="4" t="inlineStr">
        <is>
          <t>Thành viên</t>
        </is>
      </c>
      <c r="H284" s="8" t="n">
        <v>534257.1428571428</v>
      </c>
      <c r="I284" s="9" t="n">
        <v>400</v>
      </c>
      <c r="J284" s="19" t="inlineStr">
        <is>
          <t>Chưa chia / Khác</t>
        </is>
      </c>
      <c r="K284" s="4" t="inlineStr">
        <is>
          <t>Không</t>
        </is>
      </c>
      <c r="L284" s="4" t="inlineStr">
        <is>
          <t>Không</t>
        </is>
      </c>
      <c r="M284" s="6" t="inlineStr">
        <is>
          <t>-</t>
        </is>
      </c>
      <c r="N284" s="6" t="inlineStr">
        <is>
          <t>-</t>
        </is>
      </c>
      <c r="O284" s="6" t="inlineStr">
        <is>
          <t>Chưa có lịch sử chia cổ tức</t>
        </is>
      </c>
    </row>
    <row r="285" ht="22" customHeight="1">
      <c r="A285" s="13" t="n">
        <v>282</v>
      </c>
      <c r="B285" s="5" t="inlineStr">
        <is>
          <t>FCN</t>
        </is>
      </c>
      <c r="C285" s="13" t="inlineStr">
        <is>
          <t>HOSE</t>
        </is>
      </c>
      <c r="D285" s="14" t="inlineStr">
        <is>
          <t>CTCP Tập đoàn FECON</t>
        </is>
      </c>
      <c r="E285" s="14" t="inlineStr">
        <is>
          <t>Xây dựng và Vật liệu</t>
        </is>
      </c>
      <c r="F285" s="14" t="inlineStr">
        <is>
          <t>Công nghiệp</t>
        </is>
      </c>
      <c r="G285" s="13" t="inlineStr">
        <is>
          <t>Thành viên</t>
        </is>
      </c>
      <c r="H285" s="15" t="n">
        <v>522495</v>
      </c>
      <c r="I285" s="16" t="n">
        <v>11200</v>
      </c>
      <c r="J285" s="17" t="inlineStr">
        <is>
          <t>Cả tiền mặt &amp; cổ phiếu</t>
        </is>
      </c>
      <c r="K285" s="11" t="inlineStr">
        <is>
          <t>Hàng năm</t>
        </is>
      </c>
      <c r="L285" s="12" t="inlineStr">
        <is>
          <t>Có</t>
        </is>
      </c>
      <c r="M285" s="14" t="inlineStr">
        <is>
          <t>2025, 2024, 2022, 2021, 2020, 2019, 2018, 2017</t>
        </is>
      </c>
      <c r="N285" s="14" t="inlineStr">
        <is>
          <t>2020, 2018, 2014, 2013, 2012</t>
        </is>
      </c>
      <c r="O285" s="14" t="inlineStr">
        <is>
          <t>Tiền mặt hàng năm (2025, 2024, 2022, 2021, 2020, 2019, 2018, 2017); Cổ tức CP (2020, 2018, 2014, 2013, 2012)</t>
        </is>
      </c>
    </row>
    <row r="286" ht="22" customHeight="1">
      <c r="A286" s="4" t="n">
        <v>283</v>
      </c>
      <c r="B286" s="20" t="inlineStr">
        <is>
          <t>EVG</t>
        </is>
      </c>
      <c r="C286" s="4" t="inlineStr">
        <is>
          <t>HOSE</t>
        </is>
      </c>
      <c r="D286" s="6" t="inlineStr">
        <is>
          <t>CTCP Tập đoàn EverLand</t>
        </is>
      </c>
      <c r="E286" s="6" t="inlineStr">
        <is>
          <t>Xây dựng và Vật liệu</t>
        </is>
      </c>
      <c r="F286" s="6" t="inlineStr">
        <is>
          <t>Công nghiệp</t>
        </is>
      </c>
      <c r="G286" s="4" t="inlineStr">
        <is>
          <t>Thành viên</t>
        </is>
      </c>
      <c r="H286" s="8" t="n">
        <v>482220</v>
      </c>
      <c r="I286" s="9" t="n">
        <v>4160</v>
      </c>
      <c r="J286" s="24" t="inlineStr">
        <is>
          <t>Cổ tức cổ phiếu</t>
        </is>
      </c>
      <c r="K286" s="4" t="inlineStr">
        <is>
          <t>Có</t>
        </is>
      </c>
      <c r="L286" s="12" t="inlineStr">
        <is>
          <t>Có</t>
        </is>
      </c>
      <c r="M286" s="6" t="inlineStr">
        <is>
          <t>2018</t>
        </is>
      </c>
      <c r="N286" s="6" t="inlineStr">
        <is>
          <t>2026, 2022</t>
        </is>
      </c>
      <c r="O286" s="6" t="inlineStr">
        <is>
          <t>Tiền mặt (2018); Cổ tức CP (2026, 2022)</t>
        </is>
      </c>
    </row>
    <row r="287" ht="22" customHeight="1">
      <c r="A287" s="13" t="n">
        <v>284</v>
      </c>
      <c r="B287" s="20" t="inlineStr">
        <is>
          <t>DLG</t>
        </is>
      </c>
      <c r="C287" s="13" t="inlineStr">
        <is>
          <t>HOSE</t>
        </is>
      </c>
      <c r="D287" s="14" t="inlineStr">
        <is>
          <t>CTCP Tập đoàn Đức Long Gia Lai</t>
        </is>
      </c>
      <c r="E287" s="14" t="inlineStr">
        <is>
          <t>Xây dựng và Vật liệu</t>
        </is>
      </c>
      <c r="F287" s="14" t="inlineStr">
        <is>
          <t>Công nghiệp</t>
        </is>
      </c>
      <c r="G287" s="13" t="inlineStr">
        <is>
          <t>Thành viên</t>
        </is>
      </c>
      <c r="H287" s="15" t="n">
        <v>455980</v>
      </c>
      <c r="I287" s="16" t="n">
        <v>2050</v>
      </c>
      <c r="J287" s="21" t="inlineStr">
        <is>
          <t>Cổ tức cổ phiếu</t>
        </is>
      </c>
      <c r="K287" s="13" t="inlineStr">
        <is>
          <t>Không</t>
        </is>
      </c>
      <c r="L287" s="12" t="inlineStr">
        <is>
          <t>Có</t>
        </is>
      </c>
      <c r="M287" s="14" t="inlineStr">
        <is>
          <t>-</t>
        </is>
      </c>
      <c r="N287" s="14" t="inlineStr">
        <is>
          <t>2018, 2016, 2014</t>
        </is>
      </c>
      <c r="O287" s="14" t="inlineStr">
        <is>
          <t>Cổ tức CP (2018, 2016, 2014)</t>
        </is>
      </c>
    </row>
    <row r="288" ht="22" customHeight="1">
      <c r="A288" s="4" t="n">
        <v>285</v>
      </c>
      <c r="B288" s="5" t="inlineStr">
        <is>
          <t>C69</t>
        </is>
      </c>
      <c r="C288" s="4" t="inlineStr">
        <is>
          <t>HNX</t>
        </is>
      </c>
      <c r="D288" s="6" t="inlineStr">
        <is>
          <t>CTCP Xây dựng 1369</t>
        </is>
      </c>
      <c r="E288" s="6" t="inlineStr">
        <is>
          <t>Xây dựng và Vật liệu</t>
        </is>
      </c>
      <c r="F288" s="6" t="inlineStr">
        <is>
          <t>Công nghiệp</t>
        </is>
      </c>
      <c r="G288" s="4" t="inlineStr">
        <is>
          <t>Thành viên</t>
        </is>
      </c>
      <c r="H288" s="8" t="n">
        <v>434290</v>
      </c>
      <c r="I288" s="9" t="n">
        <v>16000</v>
      </c>
      <c r="J288" s="10" t="inlineStr">
        <is>
          <t>Cả tiền mặt &amp; cổ phiếu</t>
        </is>
      </c>
      <c r="K288" s="11" t="inlineStr">
        <is>
          <t>Hàng năm</t>
        </is>
      </c>
      <c r="L288" s="12" t="inlineStr">
        <is>
          <t>Có</t>
        </is>
      </c>
      <c r="M288" s="6" t="inlineStr">
        <is>
          <t>2021, 2020, 2019, 2018, 2017</t>
        </is>
      </c>
      <c r="N288" s="6" t="inlineStr">
        <is>
          <t>2023</t>
        </is>
      </c>
      <c r="O288" s="6" t="inlineStr">
        <is>
          <t>Tiền mặt hàng năm (2021, 2020, 2019, 2018, 2017); Cổ tức CP (2023)</t>
        </is>
      </c>
    </row>
    <row r="289" ht="22" customHeight="1">
      <c r="A289" s="13" t="n">
        <v>286</v>
      </c>
      <c r="B289" s="20" t="inlineStr">
        <is>
          <t>GKM</t>
        </is>
      </c>
      <c r="C289" s="13" t="inlineStr">
        <is>
          <t>HNX</t>
        </is>
      </c>
      <c r="D289" s="14" t="inlineStr">
        <is>
          <t>CTCP GKM Holdings</t>
        </is>
      </c>
      <c r="E289" s="14" t="inlineStr">
        <is>
          <t>Xây dựng và Vật liệu</t>
        </is>
      </c>
      <c r="F289" s="14" t="inlineStr">
        <is>
          <t>Công nghiệp</t>
        </is>
      </c>
      <c r="G289" s="13" t="inlineStr">
        <is>
          <t>Thành viên</t>
        </is>
      </c>
      <c r="H289" s="15" t="n">
        <v>361025</v>
      </c>
      <c r="I289" s="16" t="n">
        <v>1100</v>
      </c>
      <c r="J289" s="21" t="inlineStr">
        <is>
          <t>Cổ tức cổ phiếu</t>
        </is>
      </c>
      <c r="K289" s="13" t="inlineStr">
        <is>
          <t>Có</t>
        </is>
      </c>
      <c r="L289" s="12" t="inlineStr">
        <is>
          <t>Có</t>
        </is>
      </c>
      <c r="M289" s="14" t="inlineStr">
        <is>
          <t>2017</t>
        </is>
      </c>
      <c r="N289" s="14" t="inlineStr">
        <is>
          <t>2023, 2022, 2021, 2019, 2018</t>
        </is>
      </c>
      <c r="O289" s="14" t="inlineStr">
        <is>
          <t>Tiền mặt (2017); Cổ tức CP (2023, 2022, 2021, 2019, 2018)</t>
        </is>
      </c>
    </row>
    <row r="290" ht="22" customHeight="1">
      <c r="A290" s="4" t="n">
        <v>287</v>
      </c>
      <c r="B290" s="18" t="inlineStr">
        <is>
          <t>SVN</t>
        </is>
      </c>
      <c r="C290" s="4" t="inlineStr">
        <is>
          <t>HNX</t>
        </is>
      </c>
      <c r="D290" s="6" t="inlineStr">
        <is>
          <t>CTCP Tập đoàn Vexilla Việt Nam</t>
        </is>
      </c>
      <c r="E290" s="6" t="inlineStr">
        <is>
          <t>Xây dựng và Vật liệu</t>
        </is>
      </c>
      <c r="F290" s="6" t="inlineStr">
        <is>
          <t>Công nghiệp</t>
        </is>
      </c>
      <c r="G290" s="4" t="inlineStr">
        <is>
          <t>Thành viên</t>
        </is>
      </c>
      <c r="H290" s="8" t="n">
        <v>346515</v>
      </c>
      <c r="I290" s="9" t="n">
        <v>4400</v>
      </c>
      <c r="J290" s="19" t="inlineStr">
        <is>
          <t>Chưa chia / Khác</t>
        </is>
      </c>
      <c r="K290" s="4" t="inlineStr">
        <is>
          <t>Không</t>
        </is>
      </c>
      <c r="L290" s="4" t="inlineStr">
        <is>
          <t>Không</t>
        </is>
      </c>
      <c r="M290" s="6" t="inlineStr">
        <is>
          <t>-</t>
        </is>
      </c>
      <c r="N290" s="6" t="inlineStr">
        <is>
          <t>-</t>
        </is>
      </c>
      <c r="O290" s="6" t="inlineStr">
        <is>
          <t>Chưa có lịch sử chia cổ tức</t>
        </is>
      </c>
    </row>
    <row r="291" ht="22" customHeight="1">
      <c r="A291" s="13" t="n">
        <v>288</v>
      </c>
      <c r="B291" s="5" t="inlineStr">
        <is>
          <t>HVH</t>
        </is>
      </c>
      <c r="C291" s="13" t="inlineStr">
        <is>
          <t>HOSE</t>
        </is>
      </c>
      <c r="D291" s="14" t="inlineStr">
        <is>
          <t>CTCP Đầu tư và Công nghệ HVC</t>
        </is>
      </c>
      <c r="E291" s="14" t="inlineStr">
        <is>
          <t>Xây dựng và Vật liệu</t>
        </is>
      </c>
      <c r="F291" s="14" t="inlineStr">
        <is>
          <t>Công nghiệp</t>
        </is>
      </c>
      <c r="G291" s="13" t="inlineStr">
        <is>
          <t>Thành viên</t>
        </is>
      </c>
      <c r="H291" s="15" t="n">
        <v>330350</v>
      </c>
      <c r="I291" s="16" t="n">
        <v>10650</v>
      </c>
      <c r="J291" s="17" t="inlineStr">
        <is>
          <t>Cả tiền mặt &amp; cổ phiếu</t>
        </is>
      </c>
      <c r="K291" s="11" t="inlineStr">
        <is>
          <t>Hàng năm</t>
        </is>
      </c>
      <c r="L291" s="12" t="inlineStr">
        <is>
          <t>Có</t>
        </is>
      </c>
      <c r="M291" s="14" t="inlineStr">
        <is>
          <t>2024, 2021, 2020</t>
        </is>
      </c>
      <c r="N291" s="14" t="inlineStr">
        <is>
          <t>2026, 2025, 2023, 2020</t>
        </is>
      </c>
      <c r="O291" s="14" t="inlineStr">
        <is>
          <t>Tiền mặt hàng năm (2024, 2021, 2020); Cổ tức CP (2026, 2025, 2023, 2020)</t>
        </is>
      </c>
    </row>
    <row r="292" ht="22" customHeight="1">
      <c r="A292" s="4" t="n">
        <v>289</v>
      </c>
      <c r="B292" s="22" t="inlineStr">
        <is>
          <t>ACC</t>
        </is>
      </c>
      <c r="C292" s="4" t="inlineStr">
        <is>
          <t>HOSE</t>
        </is>
      </c>
      <c r="D292" s="6" t="inlineStr">
        <is>
          <t>CTCP Đầu tư và Xây dựng Bình Dương ACC</t>
        </is>
      </c>
      <c r="E292" s="6" t="inlineStr">
        <is>
          <t>Xây dựng và Vật liệu</t>
        </is>
      </c>
      <c r="F292" s="6" t="inlineStr">
        <is>
          <t>Công nghiệp</t>
        </is>
      </c>
      <c r="G292" s="4" t="inlineStr">
        <is>
          <t>Thành viên</t>
        </is>
      </c>
      <c r="H292" s="8" t="n">
        <v>327320</v>
      </c>
      <c r="I292" s="9" t="n">
        <v>4420</v>
      </c>
      <c r="J292" s="27" t="inlineStr">
        <is>
          <t>Tiền mặt hàng năm</t>
        </is>
      </c>
      <c r="K292" s="11" t="inlineStr">
        <is>
          <t>Hàng năm</t>
        </is>
      </c>
      <c r="L292" s="4" t="inlineStr">
        <is>
          <t>Không</t>
        </is>
      </c>
      <c r="M292" s="6" t="inlineStr">
        <is>
          <t>2022, 2021, 2020, 2019, 2018, 2017, 2016, 2015</t>
        </is>
      </c>
      <c r="N292" s="6" t="inlineStr">
        <is>
          <t>-</t>
        </is>
      </c>
      <c r="O292" s="6" t="inlineStr">
        <is>
          <t>Tiền mặt hàng năm (2022, 2021, 2020, 2019, 2018, 2017, 2016, 2015)</t>
        </is>
      </c>
    </row>
    <row r="293" ht="22" customHeight="1">
      <c r="A293" s="13" t="n">
        <v>290</v>
      </c>
      <c r="B293" s="5" t="inlineStr">
        <is>
          <t>VNE</t>
        </is>
      </c>
      <c r="C293" s="13" t="inlineStr">
        <is>
          <t>UPCOM</t>
        </is>
      </c>
      <c r="D293" s="14" t="inlineStr">
        <is>
          <t>Tổng Công ty cổ phần Xây dựng Điện Việt Nam</t>
        </is>
      </c>
      <c r="E293" s="14" t="inlineStr">
        <is>
          <t>Xây dựng và Vật liệu</t>
        </is>
      </c>
      <c r="F293" s="14" t="inlineStr">
        <is>
          <t>Công nghiệp</t>
        </is>
      </c>
      <c r="G293" s="13" t="inlineStr">
        <is>
          <t>Thành viên</t>
        </is>
      </c>
      <c r="H293" s="15" t="n">
        <v>289905</v>
      </c>
      <c r="I293" s="16" t="n">
        <v>2100</v>
      </c>
      <c r="J293" s="17" t="inlineStr">
        <is>
          <t>Cả tiền mặt &amp; cổ phiếu</t>
        </is>
      </c>
      <c r="K293" s="11" t="inlineStr">
        <is>
          <t>Hàng năm</t>
        </is>
      </c>
      <c r="L293" s="12" t="inlineStr">
        <is>
          <t>Có</t>
        </is>
      </c>
      <c r="M293" s="14" t="inlineStr">
        <is>
          <t>2019, 2017, 2014, 2008</t>
        </is>
      </c>
      <c r="N293" s="14" t="inlineStr">
        <is>
          <t>2016, 2015</t>
        </is>
      </c>
      <c r="O293" s="14" t="inlineStr">
        <is>
          <t>Tiền mặt hàng năm (2019, 2017, 2014, 2008); Cổ tức CP (2016, 2015)</t>
        </is>
      </c>
    </row>
    <row r="294" ht="22" customHeight="1">
      <c r="A294" s="4" t="n">
        <v>291</v>
      </c>
      <c r="B294" s="20" t="inlineStr">
        <is>
          <t>CRC</t>
        </is>
      </c>
      <c r="C294" s="4" t="inlineStr">
        <is>
          <t>HOSE</t>
        </is>
      </c>
      <c r="D294" s="6" t="inlineStr">
        <is>
          <t>CTCP Create Capital Việt Nam</t>
        </is>
      </c>
      <c r="E294" s="6" t="inlineStr">
        <is>
          <t>Xây dựng và Vật liệu</t>
        </is>
      </c>
      <c r="F294" s="6" t="inlineStr">
        <is>
          <t>Công nghiệp</t>
        </is>
      </c>
      <c r="G294" s="4" t="inlineStr">
        <is>
          <t>Thành viên</t>
        </is>
      </c>
      <c r="H294" s="8" t="n">
        <v>246710</v>
      </c>
      <c r="I294" s="9" t="n">
        <v>5160</v>
      </c>
      <c r="J294" s="24" t="inlineStr">
        <is>
          <t>Cổ tức cổ phiếu</t>
        </is>
      </c>
      <c r="K294" s="4" t="inlineStr">
        <is>
          <t>Có</t>
        </is>
      </c>
      <c r="L294" s="12" t="inlineStr">
        <is>
          <t>Có</t>
        </is>
      </c>
      <c r="M294" s="6" t="inlineStr">
        <is>
          <t>2021, 2019</t>
        </is>
      </c>
      <c r="N294" s="6" t="inlineStr">
        <is>
          <t>2025</t>
        </is>
      </c>
      <c r="O294" s="6" t="inlineStr">
        <is>
          <t>Tiền mặt (2021, 2019); Cổ tức CP (2025)</t>
        </is>
      </c>
    </row>
    <row r="295" ht="22" customHeight="1">
      <c r="A295" s="13" t="n">
        <v>292</v>
      </c>
      <c r="B295" s="5" t="inlineStr">
        <is>
          <t>CTI</t>
        </is>
      </c>
      <c r="C295" s="13" t="inlineStr">
        <is>
          <t>HOSE</t>
        </is>
      </c>
      <c r="D295" s="14" t="inlineStr">
        <is>
          <t>CTCP Đầu tư Phát triển Cường Thuận IDICO</t>
        </is>
      </c>
      <c r="E295" s="14" t="inlineStr">
        <is>
          <t>Xây dựng và Vật liệu</t>
        </is>
      </c>
      <c r="F295" s="14" t="inlineStr">
        <is>
          <t>Công nghiệp</t>
        </is>
      </c>
      <c r="G295" s="13" t="inlineStr">
        <is>
          <t>Thành viên</t>
        </is>
      </c>
      <c r="H295" s="15" t="n">
        <v>227750</v>
      </c>
      <c r="I295" s="16" t="n">
        <v>15650</v>
      </c>
      <c r="J295" s="17" t="inlineStr">
        <is>
          <t>Cả tiền mặt &amp; cổ phiếu</t>
        </is>
      </c>
      <c r="K295" s="11" t="inlineStr">
        <is>
          <t>Hàng năm</t>
        </is>
      </c>
      <c r="L295" s="12" t="inlineStr">
        <is>
          <t>Có</t>
        </is>
      </c>
      <c r="M295" s="14" t="inlineStr">
        <is>
          <t>2021, 2020, 2018, 2017, 2016, 2015</t>
        </is>
      </c>
      <c r="N295" s="14" t="inlineStr">
        <is>
          <t>2026, 2014</t>
        </is>
      </c>
      <c r="O295" s="14" t="inlineStr">
        <is>
          <t>Tiền mặt hàng năm (2021, 2020, 2018, 2017, 2016, 2015); Cổ tức CP (2026, 2014)</t>
        </is>
      </c>
    </row>
    <row r="296" ht="22" customHeight="1">
      <c r="A296" s="4" t="n">
        <v>293</v>
      </c>
      <c r="B296" s="5" t="inlineStr">
        <is>
          <t>HDA</t>
        </is>
      </c>
      <c r="C296" s="4" t="inlineStr">
        <is>
          <t>HNX</t>
        </is>
      </c>
      <c r="D296" s="6" t="inlineStr">
        <is>
          <t>CTCP Hãng sơn Đông Á</t>
        </is>
      </c>
      <c r="E296" s="6" t="inlineStr">
        <is>
          <t>Xây dựng và Vật liệu</t>
        </is>
      </c>
      <c r="F296" s="6" t="inlineStr">
        <is>
          <t>Công nghiệp</t>
        </is>
      </c>
      <c r="G296" s="4" t="inlineStr">
        <is>
          <t>Thành viên</t>
        </is>
      </c>
      <c r="H296" s="8" t="n">
        <v>227550</v>
      </c>
      <c r="I296" s="9" t="n">
        <v>6700</v>
      </c>
      <c r="J296" s="10" t="inlineStr">
        <is>
          <t>Cả tiền mặt &amp; cổ phiếu</t>
        </is>
      </c>
      <c r="K296" s="11" t="inlineStr">
        <is>
          <t>Hàng năm</t>
        </is>
      </c>
      <c r="L296" s="12" t="inlineStr">
        <is>
          <t>Có</t>
        </is>
      </c>
      <c r="M296" s="6" t="inlineStr">
        <is>
          <t>2022, 2021, 2017, 2016, 2015, 2014, 2013, 2011</t>
        </is>
      </c>
      <c r="N296" s="6" t="inlineStr">
        <is>
          <t>2026, 2022</t>
        </is>
      </c>
      <c r="O296" s="6" t="inlineStr">
        <is>
          <t>Tiền mặt hàng năm (2022, 2021, 2017, 2016, 2015, 2014, 2013, 2011); Cổ tức CP (2026, 2022)</t>
        </is>
      </c>
    </row>
    <row r="297" ht="22" customHeight="1">
      <c r="A297" s="13" t="n">
        <v>294</v>
      </c>
      <c r="B297" s="25" t="inlineStr">
        <is>
          <t>BOT</t>
        </is>
      </c>
      <c r="C297" s="13" t="inlineStr">
        <is>
          <t>UPCOM</t>
        </is>
      </c>
      <c r="D297" s="14" t="inlineStr">
        <is>
          <t>CTCP BOT Cầu Thái Hà</t>
        </is>
      </c>
      <c r="E297" s="14" t="inlineStr">
        <is>
          <t>Xây dựng và Vật liệu</t>
        </is>
      </c>
      <c r="F297" s="14" t="inlineStr">
        <is>
          <t>Công nghiệp</t>
        </is>
      </c>
      <c r="G297" s="13" t="inlineStr">
        <is>
          <t>Thành viên</t>
        </is>
      </c>
      <c r="H297" s="15" t="n">
        <v>208700</v>
      </c>
      <c r="I297" s="16" t="n">
        <v>1400</v>
      </c>
      <c r="J297" s="26" t="inlineStr">
        <is>
          <t>Chưa chia / Khác</t>
        </is>
      </c>
      <c r="K297" s="13" t="inlineStr">
        <is>
          <t>Không</t>
        </is>
      </c>
      <c r="L297" s="13" t="inlineStr">
        <is>
          <t>Không</t>
        </is>
      </c>
      <c r="M297" s="14" t="inlineStr">
        <is>
          <t>-</t>
        </is>
      </c>
      <c r="N297" s="14" t="inlineStr">
        <is>
          <t>-</t>
        </is>
      </c>
      <c r="O297" s="14" t="inlineStr">
        <is>
          <t>Chưa có lịch sử chia cổ tức</t>
        </is>
      </c>
    </row>
    <row r="298" ht="22" customHeight="1">
      <c r="A298" s="4" t="n">
        <v>295</v>
      </c>
      <c r="B298" s="18" t="inlineStr">
        <is>
          <t>DVG</t>
        </is>
      </c>
      <c r="C298" s="4" t="inlineStr">
        <is>
          <t>UPCOM</t>
        </is>
      </c>
      <c r="D298" s="6" t="inlineStr">
        <is>
          <t>CTCP Đại Việt Group DVG</t>
        </is>
      </c>
      <c r="E298" s="6" t="inlineStr">
        <is>
          <t>Xây dựng và Vật liệu</t>
        </is>
      </c>
      <c r="F298" s="6" t="inlineStr">
        <is>
          <t>Công nghiệp</t>
        </is>
      </c>
      <c r="G298" s="4" t="inlineStr">
        <is>
          <t>Thành viên</t>
        </is>
      </c>
      <c r="H298" s="8" t="n">
        <v>205385.7142857143</v>
      </c>
      <c r="I298" s="9" t="n">
        <v>700</v>
      </c>
      <c r="J298" s="19" t="inlineStr">
        <is>
          <t>Chưa chia / Khác</t>
        </is>
      </c>
      <c r="K298" s="4" t="inlineStr">
        <is>
          <t>Không</t>
        </is>
      </c>
      <c r="L298" s="4" t="inlineStr">
        <is>
          <t>Không</t>
        </is>
      </c>
      <c r="M298" s="6" t="inlineStr">
        <is>
          <t>-</t>
        </is>
      </c>
      <c r="N298" s="6" t="inlineStr">
        <is>
          <t>-</t>
        </is>
      </c>
      <c r="O298" s="6" t="inlineStr">
        <is>
          <t>Chưa có lịch sử chia cổ tức</t>
        </is>
      </c>
    </row>
    <row r="299" ht="22" customHeight="1">
      <c r="A299" s="13" t="n">
        <v>296</v>
      </c>
      <c r="B299" s="5" t="inlineStr">
        <is>
          <t>CTR</t>
        </is>
      </c>
      <c r="C299" s="13" t="inlineStr">
        <is>
          <t>HOSE</t>
        </is>
      </c>
      <c r="D299" s="14" t="inlineStr">
        <is>
          <t>Tổng Công ty cổ phần Công trình Viettel</t>
        </is>
      </c>
      <c r="E299" s="14" t="inlineStr">
        <is>
          <t>Xây dựng và Vật liệu</t>
        </is>
      </c>
      <c r="F299" s="14" t="inlineStr">
        <is>
          <t>Công nghiệp</t>
        </is>
      </c>
      <c r="G299" s="13" t="inlineStr">
        <is>
          <t>Thành viên</t>
        </is>
      </c>
      <c r="H299" s="15" t="n">
        <v>199430</v>
      </c>
      <c r="I299" s="16" t="n">
        <v>73000</v>
      </c>
      <c r="J299" s="17" t="inlineStr">
        <is>
          <t>Cả tiền mặt &amp; cổ phiếu</t>
        </is>
      </c>
      <c r="K299" s="11" t="inlineStr">
        <is>
          <t>Hàng năm</t>
        </is>
      </c>
      <c r="L299" s="12" t="inlineStr">
        <is>
          <t>Có</t>
        </is>
      </c>
      <c r="M299" s="14" t="inlineStr">
        <is>
          <t>2026, 2025, 2024, 2023, 2022, 2021, 2020, 2019</t>
        </is>
      </c>
      <c r="N299" s="14" t="inlineStr">
        <is>
          <t>2026, 2022, 2021, 2020, 2019, 2018</t>
        </is>
      </c>
      <c r="O299" s="14" t="inlineStr">
        <is>
          <t>Tiền mặt hàng năm (2026, 2025, 2024, 2023, 2022, 2021, 2020, 2019); Cổ tức CP (2026, 2022, 2021, 2020, 2019, 2018)</t>
        </is>
      </c>
    </row>
    <row r="300" ht="22" customHeight="1">
      <c r="A300" s="4" t="n">
        <v>297</v>
      </c>
      <c r="B300" s="20" t="inlineStr">
        <is>
          <t>FID</t>
        </is>
      </c>
      <c r="C300" s="4" t="inlineStr">
        <is>
          <t>HNX</t>
        </is>
      </c>
      <c r="D300" s="6" t="inlineStr">
        <is>
          <t>CTCP Đầu tư và Phát triển Doanh nghiệp Việt Nam</t>
        </is>
      </c>
      <c r="E300" s="6" t="inlineStr">
        <is>
          <t>Xây dựng và Vật liệu</t>
        </is>
      </c>
      <c r="F300" s="6" t="inlineStr">
        <is>
          <t>Công nghiệp</t>
        </is>
      </c>
      <c r="G300" s="4" t="inlineStr">
        <is>
          <t>Thành viên</t>
        </is>
      </c>
      <c r="H300" s="8" t="n">
        <v>188914.2857142857</v>
      </c>
      <c r="I300" s="9" t="n">
        <v>1200</v>
      </c>
      <c r="J300" s="24" t="inlineStr">
        <is>
          <t>Cổ tức cổ phiếu</t>
        </is>
      </c>
      <c r="K300" s="4" t="inlineStr">
        <is>
          <t>Không</t>
        </is>
      </c>
      <c r="L300" s="12" t="inlineStr">
        <is>
          <t>Có</t>
        </is>
      </c>
      <c r="M300" s="6" t="inlineStr">
        <is>
          <t>-</t>
        </is>
      </c>
      <c r="N300" s="6" t="inlineStr">
        <is>
          <t>2016, 2015</t>
        </is>
      </c>
      <c r="O300" s="6" t="inlineStr">
        <is>
          <t>Cổ tức CP (2016, 2015)</t>
        </is>
      </c>
    </row>
    <row r="301" ht="22" customHeight="1">
      <c r="A301" s="13" t="n">
        <v>298</v>
      </c>
      <c r="B301" s="5" t="inlineStr">
        <is>
          <t>CDC</t>
        </is>
      </c>
      <c r="C301" s="13" t="inlineStr">
        <is>
          <t>HOSE</t>
        </is>
      </c>
      <c r="D301" s="14" t="inlineStr">
        <is>
          <t>CTCP Chương Dương</t>
        </is>
      </c>
      <c r="E301" s="14" t="inlineStr">
        <is>
          <t>Xây dựng và Vật liệu</t>
        </is>
      </c>
      <c r="F301" s="14" t="inlineStr">
        <is>
          <t>Công nghiệp</t>
        </is>
      </c>
      <c r="G301" s="13" t="inlineStr">
        <is>
          <t>Thành viên</t>
        </is>
      </c>
      <c r="H301" s="15" t="n">
        <v>187305</v>
      </c>
      <c r="I301" s="16" t="n">
        <v>20600</v>
      </c>
      <c r="J301" s="17" t="inlineStr">
        <is>
          <t>Cả tiền mặt &amp; cổ phiếu</t>
        </is>
      </c>
      <c r="K301" s="11" t="inlineStr">
        <is>
          <t>Hàng năm</t>
        </is>
      </c>
      <c r="L301" s="12" t="inlineStr">
        <is>
          <t>Có</t>
        </is>
      </c>
      <c r="M301" s="14" t="inlineStr">
        <is>
          <t>2020, 2019, 2018, 2017, 2016, 2015, 2013, 2010</t>
        </is>
      </c>
      <c r="N301" s="14" t="inlineStr">
        <is>
          <t>2025, 2020, 2014</t>
        </is>
      </c>
      <c r="O301" s="14" t="inlineStr">
        <is>
          <t>Tiền mặt hàng năm (2020, 2019, 2018, 2017, 2016, 2015, 2013, 2010); Cổ tức CP (2025, 2020, 2014)</t>
        </is>
      </c>
    </row>
    <row r="302" ht="22" customHeight="1">
      <c r="A302" s="4" t="n">
        <v>299</v>
      </c>
      <c r="B302" s="5" t="inlineStr">
        <is>
          <t>LIG</t>
        </is>
      </c>
      <c r="C302" s="4" t="inlineStr">
        <is>
          <t>HNX</t>
        </is>
      </c>
      <c r="D302" s="6" t="inlineStr">
        <is>
          <t>CTCP Licogi 13</t>
        </is>
      </c>
      <c r="E302" s="6" t="inlineStr">
        <is>
          <t>Xây dựng và Vật liệu</t>
        </is>
      </c>
      <c r="F302" s="6" t="inlineStr">
        <is>
          <t>Công nghiệp</t>
        </is>
      </c>
      <c r="G302" s="4" t="inlineStr">
        <is>
          <t>Thành viên</t>
        </is>
      </c>
      <c r="H302" s="8" t="n">
        <v>180680</v>
      </c>
      <c r="I302" s="9" t="n">
        <v>3000</v>
      </c>
      <c r="J302" s="10" t="inlineStr">
        <is>
          <t>Cả tiền mặt &amp; cổ phiếu</t>
        </is>
      </c>
      <c r="K302" s="11" t="inlineStr">
        <is>
          <t>Hàng năm</t>
        </is>
      </c>
      <c r="L302" s="12" t="inlineStr">
        <is>
          <t>Có</t>
        </is>
      </c>
      <c r="M302" s="6" t="inlineStr">
        <is>
          <t>2020, 2016, 2015, 2013, 2010</t>
        </is>
      </c>
      <c r="N302" s="6" t="inlineStr">
        <is>
          <t>2022, 2015</t>
        </is>
      </c>
      <c r="O302" s="6" t="inlineStr">
        <is>
          <t>Tiền mặt hàng năm (2020, 2016, 2015, 2013, 2010); Cổ tức CP (2022, 2015)</t>
        </is>
      </c>
    </row>
    <row r="303" ht="22" customHeight="1">
      <c r="A303" s="13" t="n">
        <v>300</v>
      </c>
      <c r="B303" s="20" t="inlineStr">
        <is>
          <t>TLD</t>
        </is>
      </c>
      <c r="C303" s="13" t="inlineStr">
        <is>
          <t>HOSE</t>
        </is>
      </c>
      <c r="D303" s="14" t="inlineStr">
        <is>
          <t>CTCP Đầu tư Xây dựng và Phát triển Đô thị Thăng Long</t>
        </is>
      </c>
      <c r="E303" s="14" t="inlineStr">
        <is>
          <t>Xây dựng và Vật liệu</t>
        </is>
      </c>
      <c r="F303" s="14" t="inlineStr">
        <is>
          <t>Công nghiệp</t>
        </is>
      </c>
      <c r="G303" s="13" t="inlineStr">
        <is>
          <t>Thành viên</t>
        </is>
      </c>
      <c r="H303" s="15" t="n">
        <v>164010</v>
      </c>
      <c r="I303" s="16" t="n">
        <v>8170</v>
      </c>
      <c r="J303" s="21" t="inlineStr">
        <is>
          <t>Cổ tức cổ phiếu</t>
        </is>
      </c>
      <c r="K303" s="13" t="inlineStr">
        <is>
          <t>Có</t>
        </is>
      </c>
      <c r="L303" s="12" t="inlineStr">
        <is>
          <t>Có</t>
        </is>
      </c>
      <c r="M303" s="14" t="inlineStr">
        <is>
          <t>2018</t>
        </is>
      </c>
      <c r="N303" s="14" t="inlineStr">
        <is>
          <t>2023, 2021, 2020, 2018</t>
        </is>
      </c>
      <c r="O303" s="14" t="inlineStr">
        <is>
          <t>Tiền mặt (2018); Cổ tức CP (2023, 2021, 2020, 2018)</t>
        </is>
      </c>
    </row>
    <row r="304" ht="22" customHeight="1">
      <c r="A304" s="4" t="n">
        <v>301</v>
      </c>
      <c r="B304" s="5" t="inlineStr">
        <is>
          <t>SCL</t>
        </is>
      </c>
      <c r="C304" s="4" t="inlineStr">
        <is>
          <t>UPCOM</t>
        </is>
      </c>
      <c r="D304" s="6" t="inlineStr">
        <is>
          <t>CTCP Sông Đà Cao Cường</t>
        </is>
      </c>
      <c r="E304" s="6" t="inlineStr">
        <is>
          <t>Xây dựng và Vật liệu</t>
        </is>
      </c>
      <c r="F304" s="6" t="inlineStr">
        <is>
          <t>Công nghiệp</t>
        </is>
      </c>
      <c r="G304" s="4" t="inlineStr">
        <is>
          <t>Thành viên</t>
        </is>
      </c>
      <c r="H304" s="8" t="n">
        <v>149030</v>
      </c>
      <c r="I304" s="9" t="n">
        <v>26000</v>
      </c>
      <c r="J304" s="10" t="inlineStr">
        <is>
          <t>Cả tiền mặt &amp; cổ phiếu</t>
        </is>
      </c>
      <c r="K304" s="11" t="inlineStr">
        <is>
          <t>Hàng năm</t>
        </is>
      </c>
      <c r="L304" s="12" t="inlineStr">
        <is>
          <t>Có</t>
        </is>
      </c>
      <c r="M304" s="6" t="inlineStr">
        <is>
          <t>2021, 2015, 2014, 2013, 2011</t>
        </is>
      </c>
      <c r="N304" s="6" t="inlineStr">
        <is>
          <t>2026, 2025, 2023, 2022, 2015</t>
        </is>
      </c>
      <c r="O304" s="6" t="inlineStr">
        <is>
          <t>Tiền mặt hàng năm (2021, 2015, 2014, 2013, 2011); Cổ tức CP (2026, 2025, 2023, 2022, 2015)</t>
        </is>
      </c>
    </row>
    <row r="305" ht="22" customHeight="1">
      <c r="A305" s="13" t="n">
        <v>302</v>
      </c>
      <c r="B305" s="5" t="inlineStr">
        <is>
          <t>C4G</t>
        </is>
      </c>
      <c r="C305" s="13" t="inlineStr">
        <is>
          <t>UPCOM</t>
        </is>
      </c>
      <c r="D305" s="14" t="inlineStr">
        <is>
          <t>CTCP Tập đoàn CIENCO4</t>
        </is>
      </c>
      <c r="E305" s="14" t="inlineStr">
        <is>
          <t>Xây dựng và Vật liệu</t>
        </is>
      </c>
      <c r="F305" s="14" t="inlineStr">
        <is>
          <t>Công nghiệp</t>
        </is>
      </c>
      <c r="G305" s="13" t="inlineStr">
        <is>
          <t>Thành viên</t>
        </is>
      </c>
      <c r="H305" s="15" t="n">
        <v>141045</v>
      </c>
      <c r="I305" s="16" t="n">
        <v>5100</v>
      </c>
      <c r="J305" s="17" t="inlineStr">
        <is>
          <t>Cả tiền mặt &amp; cổ phiếu</t>
        </is>
      </c>
      <c r="K305" s="11" t="inlineStr">
        <is>
          <t>Hàng năm</t>
        </is>
      </c>
      <c r="L305" s="12" t="inlineStr">
        <is>
          <t>Có</t>
        </is>
      </c>
      <c r="M305" s="14" t="inlineStr">
        <is>
          <t>2023, 2020</t>
        </is>
      </c>
      <c r="N305" s="14" t="inlineStr">
        <is>
          <t>2021</t>
        </is>
      </c>
      <c r="O305" s="14" t="inlineStr">
        <is>
          <t>Tiền mặt hàng năm (2023, 2020); Cổ tức CP (2021)</t>
        </is>
      </c>
    </row>
    <row r="306" ht="22" customHeight="1">
      <c r="A306" s="4" t="n">
        <v>303</v>
      </c>
      <c r="B306" s="5" t="inlineStr">
        <is>
          <t>SDT</t>
        </is>
      </c>
      <c r="C306" s="4" t="inlineStr">
        <is>
          <t>UPCOM</t>
        </is>
      </c>
      <c r="D306" s="6" t="inlineStr">
        <is>
          <t>CTCP Sông Đà 10</t>
        </is>
      </c>
      <c r="E306" s="6" t="inlineStr">
        <is>
          <t>Xây dựng và Vật liệu</t>
        </is>
      </c>
      <c r="F306" s="6" t="inlineStr">
        <is>
          <t>Công nghiệp</t>
        </is>
      </c>
      <c r="G306" s="4" t="inlineStr">
        <is>
          <t>Thành viên</t>
        </is>
      </c>
      <c r="H306" s="8" t="n">
        <v>125260</v>
      </c>
      <c r="I306" s="9" t="n">
        <v>3900</v>
      </c>
      <c r="J306" s="10" t="inlineStr">
        <is>
          <t>Cả tiền mặt &amp; cổ phiếu</t>
        </is>
      </c>
      <c r="K306" s="11" t="inlineStr">
        <is>
          <t>Hàng năm</t>
        </is>
      </c>
      <c r="L306" s="12" t="inlineStr">
        <is>
          <t>Có</t>
        </is>
      </c>
      <c r="M306" s="6" t="inlineStr">
        <is>
          <t>2020, 2019, 2018, 2016, 2015, 2013, 2011, 2010</t>
        </is>
      </c>
      <c r="N306" s="6" t="inlineStr">
        <is>
          <t>2013</t>
        </is>
      </c>
      <c r="O306" s="6" t="inlineStr">
        <is>
          <t>Tiền mặt hàng năm (2020, 2019, 2018, 2016, 2015, 2013, 2011, 2010); Cổ tức CP (2013)</t>
        </is>
      </c>
    </row>
    <row r="307" ht="22" customHeight="1">
      <c r="A307" s="13" t="n">
        <v>304</v>
      </c>
      <c r="B307" s="5" t="inlineStr">
        <is>
          <t>PXS</t>
        </is>
      </c>
      <c r="C307" s="13" t="inlineStr">
        <is>
          <t>UPCOM</t>
        </is>
      </c>
      <c r="D307" s="14" t="inlineStr">
        <is>
          <t>CTCP Kết cấu Kim loại và Lắp máy Dầu khí</t>
        </is>
      </c>
      <c r="E307" s="14" t="inlineStr">
        <is>
          <t>Xây dựng và Vật liệu</t>
        </is>
      </c>
      <c r="F307" s="14" t="inlineStr">
        <is>
          <t>Công nghiệp</t>
        </is>
      </c>
      <c r="G307" s="13" t="inlineStr">
        <is>
          <t>Thành viên</t>
        </is>
      </c>
      <c r="H307" s="15" t="n">
        <v>123214.2857142857</v>
      </c>
      <c r="I307" s="16" t="n">
        <v>2500</v>
      </c>
      <c r="J307" s="17" t="inlineStr">
        <is>
          <t>Cả tiền mặt &amp; cổ phiếu</t>
        </is>
      </c>
      <c r="K307" s="11" t="inlineStr">
        <is>
          <t>Hàng năm</t>
        </is>
      </c>
      <c r="L307" s="12" t="inlineStr">
        <is>
          <t>Có</t>
        </is>
      </c>
      <c r="M307" s="14" t="inlineStr">
        <is>
          <t>2017, 2016, 2015, 2014, 2013, 2012, 2011, 2010</t>
        </is>
      </c>
      <c r="N307" s="14" t="inlineStr">
        <is>
          <t>2015</t>
        </is>
      </c>
      <c r="O307" s="14" t="inlineStr">
        <is>
          <t>Tiền mặt hàng năm (2017, 2016, 2015, 2014, 2013, 2012, 2011, 2010); Cổ tức CP (2015)</t>
        </is>
      </c>
    </row>
    <row r="308" ht="22" customHeight="1">
      <c r="A308" s="4" t="n">
        <v>305</v>
      </c>
      <c r="B308" s="5" t="inlineStr">
        <is>
          <t>NHA</t>
        </is>
      </c>
      <c r="C308" s="4" t="inlineStr">
        <is>
          <t>HOSE</t>
        </is>
      </c>
      <c r="D308" s="6" t="inlineStr">
        <is>
          <t>Tổng Công ty Đầu tư Phát triển Nhà và Đô thị Nam Hà Nội</t>
        </is>
      </c>
      <c r="E308" s="6" t="inlineStr">
        <is>
          <t>Xây dựng và Vật liệu</t>
        </is>
      </c>
      <c r="F308" s="6" t="inlineStr">
        <is>
          <t>Công nghiệp</t>
        </is>
      </c>
      <c r="G308" s="4" t="inlineStr">
        <is>
          <t>Thành viên</t>
        </is>
      </c>
      <c r="H308" s="8" t="n">
        <v>103250</v>
      </c>
      <c r="I308" s="9" t="n">
        <v>7080</v>
      </c>
      <c r="J308" s="10" t="inlineStr">
        <is>
          <t>Cả tiền mặt &amp; cổ phiếu</t>
        </is>
      </c>
      <c r="K308" s="11" t="inlineStr">
        <is>
          <t>Hàng năm</t>
        </is>
      </c>
      <c r="L308" s="12" t="inlineStr">
        <is>
          <t>Có</t>
        </is>
      </c>
      <c r="M308" s="6" t="inlineStr">
        <is>
          <t>2017, 2016, 2015</t>
        </is>
      </c>
      <c r="N308" s="6" t="inlineStr">
        <is>
          <t>2026, 2025, 2021, 2020, 2019, 2018, 2017</t>
        </is>
      </c>
      <c r="O308" s="6" t="inlineStr">
        <is>
          <t>Tiền mặt hàng năm (2017, 2016, 2015); Cổ tức CP (2026, 2025, 2021, 2020, 2019, 2018, 2017)</t>
        </is>
      </c>
    </row>
    <row r="309" ht="22" customHeight="1">
      <c r="A309" s="13" t="n">
        <v>306</v>
      </c>
      <c r="B309" s="25" t="inlineStr">
        <is>
          <t>DSH</t>
        </is>
      </c>
      <c r="C309" s="13" t="inlineStr">
        <is>
          <t>UPCOM</t>
        </is>
      </c>
      <c r="D309" s="14" t="inlineStr">
        <is>
          <t>CTCP Đông Sơn Holding</t>
        </is>
      </c>
      <c r="E309" s="14" t="inlineStr">
        <is>
          <t>Xây dựng và Vật liệu</t>
        </is>
      </c>
      <c r="F309" s="14" t="inlineStr">
        <is>
          <t>Công nghiệp</t>
        </is>
      </c>
      <c r="G309" s="13" t="inlineStr">
        <is>
          <t>Thành viên</t>
        </is>
      </c>
      <c r="H309" s="15" t="n">
        <v>93390</v>
      </c>
      <c r="I309" s="16" t="n">
        <v>11800</v>
      </c>
      <c r="J309" s="26" t="inlineStr">
        <is>
          <t>Chưa chia / Khác</t>
        </is>
      </c>
      <c r="K309" s="13" t="inlineStr">
        <is>
          <t>Không</t>
        </is>
      </c>
      <c r="L309" s="13" t="inlineStr">
        <is>
          <t>Không</t>
        </is>
      </c>
      <c r="M309" s="14" t="inlineStr">
        <is>
          <t>-</t>
        </is>
      </c>
      <c r="N309" s="14" t="inlineStr">
        <is>
          <t>-</t>
        </is>
      </c>
      <c r="O309" s="14" t="inlineStr">
        <is>
          <t>Chưa có lịch sử chia cổ tức</t>
        </is>
      </c>
    </row>
    <row r="310" ht="22" customHeight="1">
      <c r="A310" s="4" t="n">
        <v>307</v>
      </c>
      <c r="B310" s="18" t="inlineStr">
        <is>
          <t>PXI</t>
        </is>
      </c>
      <c r="C310" s="4" t="inlineStr">
        <is>
          <t>UPCOM</t>
        </is>
      </c>
      <c r="D310" s="6" t="inlineStr">
        <is>
          <t>CTCP Xây dựng Công nghiệp và Dân dụng Dầu khí</t>
        </is>
      </c>
      <c r="E310" s="6" t="inlineStr">
        <is>
          <t>Xây dựng và Vật liệu</t>
        </is>
      </c>
      <c r="F310" s="6" t="inlineStr">
        <is>
          <t>Công nghiệp</t>
        </is>
      </c>
      <c r="G310" s="4" t="inlineStr">
        <is>
          <t>Thành viên</t>
        </is>
      </c>
      <c r="H310" s="8" t="n">
        <v>91242.85714285714</v>
      </c>
      <c r="I310" s="9" t="n">
        <v>500</v>
      </c>
      <c r="J310" s="19" t="inlineStr">
        <is>
          <t>Tiền mặt không đều</t>
        </is>
      </c>
      <c r="K310" s="4" t="inlineStr">
        <is>
          <t>Có</t>
        </is>
      </c>
      <c r="L310" s="4" t="inlineStr">
        <is>
          <t>Không</t>
        </is>
      </c>
      <c r="M310" s="6" t="inlineStr">
        <is>
          <t>2015</t>
        </is>
      </c>
      <c r="N310" s="6" t="inlineStr">
        <is>
          <t>-</t>
        </is>
      </c>
      <c r="O310" s="6" t="inlineStr">
        <is>
          <t>Tiền mặt (2015)</t>
        </is>
      </c>
    </row>
    <row r="311" ht="22" customHeight="1">
      <c r="A311" s="13" t="n">
        <v>308</v>
      </c>
      <c r="B311" s="25" t="inlineStr">
        <is>
          <t>VIW</t>
        </is>
      </c>
      <c r="C311" s="13" t="inlineStr">
        <is>
          <t>UPCOM</t>
        </is>
      </c>
      <c r="D311" s="14" t="inlineStr">
        <is>
          <t>Tổng Công ty Đầu tư Nước và Môi trường Việt Nam</t>
        </is>
      </c>
      <c r="E311" s="14" t="inlineStr">
        <is>
          <t>Xây dựng và Vật liệu</t>
        </is>
      </c>
      <c r="F311" s="14" t="inlineStr">
        <is>
          <t>Công nghiệp</t>
        </is>
      </c>
      <c r="G311" s="13" t="inlineStr">
        <is>
          <t>Thành viên</t>
        </is>
      </c>
      <c r="H311" s="15" t="n">
        <v>86240</v>
      </c>
      <c r="I311" s="16" t="n">
        <v>23400</v>
      </c>
      <c r="J311" s="26" t="inlineStr">
        <is>
          <t>Chưa chia / Khác</t>
        </is>
      </c>
      <c r="K311" s="13" t="inlineStr">
        <is>
          <t>Không</t>
        </is>
      </c>
      <c r="L311" s="13" t="inlineStr">
        <is>
          <t>Không</t>
        </is>
      </c>
      <c r="M311" s="14" t="inlineStr">
        <is>
          <t>-</t>
        </is>
      </c>
      <c r="N311" s="14" t="inlineStr">
        <is>
          <t>-</t>
        </is>
      </c>
      <c r="O311" s="14" t="inlineStr">
        <is>
          <t>Chưa có lịch sử chia cổ tức</t>
        </is>
      </c>
    </row>
    <row r="312" ht="22" customHeight="1">
      <c r="A312" s="4" t="n">
        <v>309</v>
      </c>
      <c r="B312" s="20" t="inlineStr">
        <is>
          <t>MBG</t>
        </is>
      </c>
      <c r="C312" s="4" t="inlineStr">
        <is>
          <t>HNX</t>
        </is>
      </c>
      <c r="D312" s="6" t="inlineStr">
        <is>
          <t>CTCP Tập đoàn MBG</t>
        </is>
      </c>
      <c r="E312" s="6" t="inlineStr">
        <is>
          <t>Xây dựng và Vật liệu</t>
        </is>
      </c>
      <c r="F312" s="6" t="inlineStr">
        <is>
          <t>Công nghiệp</t>
        </is>
      </c>
      <c r="G312" s="4" t="inlineStr">
        <is>
          <t>Thành viên</t>
        </is>
      </c>
      <c r="H312" s="8" t="n">
        <v>83675</v>
      </c>
      <c r="I312" s="9" t="n">
        <v>2200</v>
      </c>
      <c r="J312" s="24" t="inlineStr">
        <is>
          <t>Cổ tức cổ phiếu</t>
        </is>
      </c>
      <c r="K312" s="4" t="inlineStr">
        <is>
          <t>Không</t>
        </is>
      </c>
      <c r="L312" s="12" t="inlineStr">
        <is>
          <t>Có</t>
        </is>
      </c>
      <c r="M312" s="6" t="inlineStr">
        <is>
          <t>-</t>
        </is>
      </c>
      <c r="N312" s="6" t="inlineStr">
        <is>
          <t>2022, 2021, 2020, 2018, 2017</t>
        </is>
      </c>
      <c r="O312" s="6" t="inlineStr">
        <is>
          <t>Cổ tức CP (2022, 2021, 2020, 2018, 2017)</t>
        </is>
      </c>
    </row>
    <row r="313" ht="22" customHeight="1">
      <c r="A313" s="13" t="n">
        <v>310</v>
      </c>
      <c r="B313" s="5" t="inlineStr">
        <is>
          <t>G36</t>
        </is>
      </c>
      <c r="C313" s="13" t="inlineStr">
        <is>
          <t>UPCOM</t>
        </is>
      </c>
      <c r="D313" s="14" t="inlineStr">
        <is>
          <t>Tổng Công ty 36 - CTCP</t>
        </is>
      </c>
      <c r="E313" s="14" t="inlineStr">
        <is>
          <t>Xây dựng và Vật liệu</t>
        </is>
      </c>
      <c r="F313" s="14" t="inlineStr">
        <is>
          <t>Công nghiệp</t>
        </is>
      </c>
      <c r="G313" s="13" t="inlineStr">
        <is>
          <t>Thành viên</t>
        </is>
      </c>
      <c r="H313" s="15" t="n">
        <v>82765</v>
      </c>
      <c r="I313" s="16" t="n">
        <v>7900</v>
      </c>
      <c r="J313" s="17" t="inlineStr">
        <is>
          <t>Cả tiền mặt &amp; cổ phiếu</t>
        </is>
      </c>
      <c r="K313" s="11" t="inlineStr">
        <is>
          <t>Hàng năm</t>
        </is>
      </c>
      <c r="L313" s="12" t="inlineStr">
        <is>
          <t>Có</t>
        </is>
      </c>
      <c r="M313" s="14" t="inlineStr">
        <is>
          <t>2025, 2019, 2017</t>
        </is>
      </c>
      <c r="N313" s="14" t="inlineStr">
        <is>
          <t>2023, 2021, 2020</t>
        </is>
      </c>
      <c r="O313" s="14" t="inlineStr">
        <is>
          <t>Tiền mặt hàng năm (2025, 2019, 2017); Cổ tức CP (2023, 2021, 2020)</t>
        </is>
      </c>
    </row>
    <row r="314" ht="22" customHeight="1">
      <c r="A314" s="4" t="n">
        <v>311</v>
      </c>
      <c r="B314" s="5" t="inlineStr">
        <is>
          <t>DC4</t>
        </is>
      </c>
      <c r="C314" s="4" t="inlineStr">
        <is>
          <t>HOSE</t>
        </is>
      </c>
      <c r="D314" s="6" t="inlineStr">
        <is>
          <t>CTCP DICERA Holdings</t>
        </is>
      </c>
      <c r="E314" s="6" t="inlineStr">
        <is>
          <t>Xây dựng và Vật liệu</t>
        </is>
      </c>
      <c r="F314" s="6" t="inlineStr">
        <is>
          <t>Công nghiệp</t>
        </is>
      </c>
      <c r="G314" s="4" t="inlineStr">
        <is>
          <t>Thành viên</t>
        </is>
      </c>
      <c r="H314" s="8" t="n">
        <v>79665</v>
      </c>
      <c r="I314" s="9" t="n">
        <v>6490</v>
      </c>
      <c r="J314" s="10" t="inlineStr">
        <is>
          <t>Cả tiền mặt &amp; cổ phiếu</t>
        </is>
      </c>
      <c r="K314" s="11" t="inlineStr">
        <is>
          <t>Hàng năm</t>
        </is>
      </c>
      <c r="L314" s="12" t="inlineStr">
        <is>
          <t>Có</t>
        </is>
      </c>
      <c r="M314" s="6" t="inlineStr">
        <is>
          <t>2025, 2020, 2018, 2016, 2015, 2014, 2013, 2009</t>
        </is>
      </c>
      <c r="N314" s="6" t="inlineStr">
        <is>
          <t>2026, 2025, 2024, 2022, 2021, 2020, 2019, 2017</t>
        </is>
      </c>
      <c r="O314" s="6" t="inlineStr">
        <is>
          <t>Tiền mặt hàng năm (2025, 2020, 2018, 2016, 2015, 2014, 2013, 2009); Cổ tức CP (2026, 2025, 2024, 2022, 2021, 2020, 2019, 2017)</t>
        </is>
      </c>
    </row>
    <row r="315" ht="22" customHeight="1">
      <c r="A315" s="13" t="n">
        <v>312</v>
      </c>
      <c r="B315" s="20" t="inlineStr">
        <is>
          <t>RYG</t>
        </is>
      </c>
      <c r="C315" s="13" t="inlineStr">
        <is>
          <t>HOSE</t>
        </is>
      </c>
      <c r="D315" s="14" t="inlineStr">
        <is>
          <t>CTCP Sản xuất và Đầu tư Hoàng Gia</t>
        </is>
      </c>
      <c r="E315" s="14" t="inlineStr">
        <is>
          <t>Xây dựng và Vật liệu</t>
        </is>
      </c>
      <c r="F315" s="14" t="inlineStr">
        <is>
          <t>Công nghiệp</t>
        </is>
      </c>
      <c r="G315" s="13" t="inlineStr">
        <is>
          <t>Thành viên</t>
        </is>
      </c>
      <c r="H315" s="15" t="n">
        <v>69840</v>
      </c>
      <c r="I315" s="16" t="n">
        <v>8450</v>
      </c>
      <c r="J315" s="21" t="inlineStr">
        <is>
          <t>Cổ tức cổ phiếu</t>
        </is>
      </c>
      <c r="K315" s="13" t="inlineStr">
        <is>
          <t>Không</t>
        </is>
      </c>
      <c r="L315" s="12" t="inlineStr">
        <is>
          <t>Có</t>
        </is>
      </c>
      <c r="M315" s="14" t="inlineStr">
        <is>
          <t>-</t>
        </is>
      </c>
      <c r="N315" s="14" t="inlineStr">
        <is>
          <t>2026</t>
        </is>
      </c>
      <c r="O315" s="14" t="inlineStr">
        <is>
          <t>Cổ tức CP (2026)</t>
        </is>
      </c>
    </row>
    <row r="316" ht="22" customHeight="1">
      <c r="A316" s="4" t="n">
        <v>313</v>
      </c>
      <c r="B316" s="22" t="inlineStr">
        <is>
          <t>DGT</t>
        </is>
      </c>
      <c r="C316" s="4" t="inlineStr">
        <is>
          <t>UPCOM</t>
        </is>
      </c>
      <c r="D316" s="6" t="inlineStr">
        <is>
          <t>CTCP Công trình Giao thông Đồng Nai</t>
        </is>
      </c>
      <c r="E316" s="6" t="inlineStr">
        <is>
          <t>Xây dựng và Vật liệu</t>
        </is>
      </c>
      <c r="F316" s="6" t="inlineStr">
        <is>
          <t>Công nghiệp</t>
        </is>
      </c>
      <c r="G316" s="4" t="inlineStr">
        <is>
          <t>Thành viên</t>
        </is>
      </c>
      <c r="H316" s="8" t="n">
        <v>68685</v>
      </c>
      <c r="I316" s="9" t="n">
        <v>3900</v>
      </c>
      <c r="J316" s="27" t="inlineStr">
        <is>
          <t>Tiền mặt hàng năm</t>
        </is>
      </c>
      <c r="K316" s="11" t="inlineStr">
        <is>
          <t>Hàng năm</t>
        </is>
      </c>
      <c r="L316" s="4" t="inlineStr">
        <is>
          <t>Không</t>
        </is>
      </c>
      <c r="M316" s="6" t="inlineStr">
        <is>
          <t>2017, 2016, 2014, 2010</t>
        </is>
      </c>
      <c r="N316" s="6" t="inlineStr">
        <is>
          <t>-</t>
        </is>
      </c>
      <c r="O316" s="6" t="inlineStr">
        <is>
          <t>Tiền mặt hàng năm (2017, 2016, 2014, 2010)</t>
        </is>
      </c>
    </row>
    <row r="317" ht="22" customHeight="1">
      <c r="A317" s="13" t="n">
        <v>314</v>
      </c>
      <c r="B317" s="5" t="inlineStr">
        <is>
          <t>PHC</t>
        </is>
      </c>
      <c r="C317" s="13" t="inlineStr">
        <is>
          <t>HOSE</t>
        </is>
      </c>
      <c r="D317" s="14" t="inlineStr">
        <is>
          <t>CTCP Xây dựng Phục Hưng Holdings</t>
        </is>
      </c>
      <c r="E317" s="14" t="inlineStr">
        <is>
          <t>Xây dựng và Vật liệu</t>
        </is>
      </c>
      <c r="F317" s="14" t="inlineStr">
        <is>
          <t>Công nghiệp</t>
        </is>
      </c>
      <c r="G317" s="13" t="inlineStr">
        <is>
          <t>Thành viên</t>
        </is>
      </c>
      <c r="H317" s="15" t="n">
        <v>62655</v>
      </c>
      <c r="I317" s="16" t="n">
        <v>4240</v>
      </c>
      <c r="J317" s="17" t="inlineStr">
        <is>
          <t>Cả tiền mặt &amp; cổ phiếu</t>
        </is>
      </c>
      <c r="K317" s="11" t="inlineStr">
        <is>
          <t>Hàng năm</t>
        </is>
      </c>
      <c r="L317" s="12" t="inlineStr">
        <is>
          <t>Có</t>
        </is>
      </c>
      <c r="M317" s="14" t="inlineStr">
        <is>
          <t>2024, 2022, 2020, 2019, 2018, 2017, 2016, 2015</t>
        </is>
      </c>
      <c r="N317" s="14" t="inlineStr">
        <is>
          <t>2021, 2019</t>
        </is>
      </c>
      <c r="O317" s="14" t="inlineStr">
        <is>
          <t>Tiền mặt hàng năm (2024, 2022, 2020, 2019, 2018, 2017, 2016, 2015); Cổ tức CP (2021, 2019)</t>
        </is>
      </c>
    </row>
    <row r="318" ht="22" customHeight="1">
      <c r="A318" s="4" t="n">
        <v>315</v>
      </c>
      <c r="B318" s="18" t="inlineStr">
        <is>
          <t>PXM</t>
        </is>
      </c>
      <c r="C318" s="4" t="inlineStr">
        <is>
          <t>UPCOM</t>
        </is>
      </c>
      <c r="D318" s="6" t="inlineStr">
        <is>
          <t>CTCP Xây lắp Dầu khí Miền Trung</t>
        </is>
      </c>
      <c r="E318" s="6" t="inlineStr">
        <is>
          <t>Xây dựng và Vật liệu</t>
        </is>
      </c>
      <c r="F318" s="6" t="inlineStr">
        <is>
          <t>Công nghiệp</t>
        </is>
      </c>
      <c r="G318" s="4" t="inlineStr">
        <is>
          <t>Thành viên</t>
        </is>
      </c>
      <c r="H318" s="8" t="n">
        <v>55942.85714285714</v>
      </c>
      <c r="I318" s="9" t="n">
        <v>400</v>
      </c>
      <c r="J318" s="19" t="inlineStr">
        <is>
          <t>Tiền mặt không đều</t>
        </is>
      </c>
      <c r="K318" s="4" t="inlineStr">
        <is>
          <t>Có</t>
        </is>
      </c>
      <c r="L318" s="4" t="inlineStr">
        <is>
          <t>Không</t>
        </is>
      </c>
      <c r="M318" s="6" t="inlineStr">
        <is>
          <t>2011</t>
        </is>
      </c>
      <c r="N318" s="6" t="inlineStr">
        <is>
          <t>-</t>
        </is>
      </c>
      <c r="O318" s="6" t="inlineStr">
        <is>
          <t>Tiền mặt (2011)</t>
        </is>
      </c>
    </row>
    <row r="319" ht="22" customHeight="1">
      <c r="A319" s="13" t="n">
        <v>316</v>
      </c>
      <c r="B319" s="5" t="inlineStr">
        <is>
          <t>VC2</t>
        </is>
      </c>
      <c r="C319" s="13" t="inlineStr">
        <is>
          <t>HNX</t>
        </is>
      </c>
      <c r="D319" s="14" t="inlineStr">
        <is>
          <t>CTCP Đầu tư và Xây dựng Vina2</t>
        </is>
      </c>
      <c r="E319" s="14" t="inlineStr">
        <is>
          <t>Xây dựng và Vật liệu</t>
        </is>
      </c>
      <c r="F319" s="14" t="inlineStr">
        <is>
          <t>Công nghiệp</t>
        </is>
      </c>
      <c r="G319" s="13" t="inlineStr">
        <is>
          <t>Thành viên</t>
        </is>
      </c>
      <c r="H319" s="15" t="n">
        <v>55930</v>
      </c>
      <c r="I319" s="16" t="n">
        <v>3200</v>
      </c>
      <c r="J319" s="17" t="inlineStr">
        <is>
          <t>Cả tiền mặt &amp; cổ phiếu</t>
        </is>
      </c>
      <c r="K319" s="11" t="inlineStr">
        <is>
          <t>Hàng năm</t>
        </is>
      </c>
      <c r="L319" s="12" t="inlineStr">
        <is>
          <t>Có</t>
        </is>
      </c>
      <c r="M319" s="14" t="inlineStr">
        <is>
          <t>2021, 2020, 2018, 2017, 2016, 2015, 2014, 2013</t>
        </is>
      </c>
      <c r="N319" s="14" t="inlineStr">
        <is>
          <t>2025, 2022, 2016</t>
        </is>
      </c>
      <c r="O319" s="14" t="inlineStr">
        <is>
          <t>Tiền mặt hàng năm (2021, 2020, 2018, 2017, 2016, 2015, 2014, 2013); Cổ tức CP (2025, 2022, 2016)</t>
        </is>
      </c>
    </row>
    <row r="320" ht="22" customHeight="1">
      <c r="A320" s="4" t="n">
        <v>317</v>
      </c>
      <c r="B320" s="5" t="inlineStr">
        <is>
          <t>VC7</t>
        </is>
      </c>
      <c r="C320" s="4" t="inlineStr">
        <is>
          <t>HNX</t>
        </is>
      </c>
      <c r="D320" s="6" t="inlineStr">
        <is>
          <t>CTCP Tập đoàn BGI</t>
        </is>
      </c>
      <c r="E320" s="6" t="inlineStr">
        <is>
          <t>Xây dựng và Vật liệu</t>
        </is>
      </c>
      <c r="F320" s="6" t="inlineStr">
        <is>
          <t>Công nghiệp</t>
        </is>
      </c>
      <c r="G320" s="4" t="inlineStr">
        <is>
          <t>Thành viên</t>
        </is>
      </c>
      <c r="H320" s="8" t="n">
        <v>55365</v>
      </c>
      <c r="I320" s="9" t="n">
        <v>7000</v>
      </c>
      <c r="J320" s="10" t="inlineStr">
        <is>
          <t>Cả tiền mặt &amp; cổ phiếu</t>
        </is>
      </c>
      <c r="K320" s="11" t="inlineStr">
        <is>
          <t>Hàng năm</t>
        </is>
      </c>
      <c r="L320" s="12" t="inlineStr">
        <is>
          <t>Có</t>
        </is>
      </c>
      <c r="M320" s="6" t="inlineStr">
        <is>
          <t>2026, 2019, 2018, 2017, 2016, 2015, 2012, 2010</t>
        </is>
      </c>
      <c r="N320" s="6" t="inlineStr">
        <is>
          <t>2020, 2019, 2016</t>
        </is>
      </c>
      <c r="O320" s="6" t="inlineStr">
        <is>
          <t>Tiền mặt hàng năm (2026, 2019, 2018, 2017, 2016, 2015, 2012, 2010); Cổ tức CP (2020, 2019, 2016)</t>
        </is>
      </c>
    </row>
    <row r="321" ht="22" customHeight="1">
      <c r="A321" s="13" t="n">
        <v>318</v>
      </c>
      <c r="B321" s="5" t="inlineStr">
        <is>
          <t>TSA</t>
        </is>
      </c>
      <c r="C321" s="13" t="inlineStr">
        <is>
          <t>HOSE</t>
        </is>
      </c>
      <c r="D321" s="14" t="inlineStr">
        <is>
          <t>CTCP Đầu tư và Xây lắp Trường Sơn</t>
        </is>
      </c>
      <c r="E321" s="14" t="inlineStr">
        <is>
          <t>Xây dựng và Vật liệu</t>
        </is>
      </c>
      <c r="F321" s="14" t="inlineStr">
        <is>
          <t>Công nghiệp</t>
        </is>
      </c>
      <c r="G321" s="13" t="inlineStr">
        <is>
          <t>Thành viên</t>
        </is>
      </c>
      <c r="H321" s="15" t="n">
        <v>53045</v>
      </c>
      <c r="I321" s="16" t="n">
        <v>15300</v>
      </c>
      <c r="J321" s="17" t="inlineStr">
        <is>
          <t>Cả tiền mặt &amp; cổ phiếu</t>
        </is>
      </c>
      <c r="K321" s="11" t="inlineStr">
        <is>
          <t>Hàng năm</t>
        </is>
      </c>
      <c r="L321" s="12" t="inlineStr">
        <is>
          <t>Có</t>
        </is>
      </c>
      <c r="M321" s="14" t="inlineStr">
        <is>
          <t>2026, 2025</t>
        </is>
      </c>
      <c r="N321" s="14" t="inlineStr">
        <is>
          <t>2025</t>
        </is>
      </c>
      <c r="O321" s="14" t="inlineStr">
        <is>
          <t>Tiền mặt hàng năm (2026, 2025); Cổ tức CP (2025)</t>
        </is>
      </c>
    </row>
    <row r="322" ht="22" customHeight="1">
      <c r="A322" s="4" t="n">
        <v>319</v>
      </c>
      <c r="B322" s="5" t="inlineStr">
        <is>
          <t>L14</t>
        </is>
      </c>
      <c r="C322" s="4" t="inlineStr">
        <is>
          <t>HNX</t>
        </is>
      </c>
      <c r="D322" s="6" t="inlineStr">
        <is>
          <t>CTCP Licogi 14</t>
        </is>
      </c>
      <c r="E322" s="6" t="inlineStr">
        <is>
          <t>Xây dựng và Vật liệu</t>
        </is>
      </c>
      <c r="F322" s="6" t="inlineStr">
        <is>
          <t>Công nghiệp</t>
        </is>
      </c>
      <c r="G322" s="4" t="inlineStr">
        <is>
          <t>Thành viên</t>
        </is>
      </c>
      <c r="H322" s="8" t="n">
        <v>51070</v>
      </c>
      <c r="I322" s="9" t="n">
        <v>19500</v>
      </c>
      <c r="J322" s="10" t="inlineStr">
        <is>
          <t>Cả tiền mặt &amp; cổ phiếu</t>
        </is>
      </c>
      <c r="K322" s="11" t="inlineStr">
        <is>
          <t>Hàng năm</t>
        </is>
      </c>
      <c r="L322" s="12" t="inlineStr">
        <is>
          <t>Có</t>
        </is>
      </c>
      <c r="M322" s="6" t="inlineStr">
        <is>
          <t>2024, 2014, 2013</t>
        </is>
      </c>
      <c r="N322" s="6" t="inlineStr">
        <is>
          <t>2022, 2021, 2020, 2019, 2017, 2016, 2015</t>
        </is>
      </c>
      <c r="O322" s="6" t="inlineStr">
        <is>
          <t>Tiền mặt hàng năm (2024, 2014, 2013); Cổ tức CP (2022, 2021, 2020, 2019, 2017, 2016, 2015)</t>
        </is>
      </c>
    </row>
    <row r="323" ht="22" customHeight="1">
      <c r="A323" s="13" t="n">
        <v>320</v>
      </c>
      <c r="B323" s="5" t="inlineStr">
        <is>
          <t>DCL</t>
        </is>
      </c>
      <c r="C323" s="13" t="inlineStr">
        <is>
          <t>HOSE</t>
        </is>
      </c>
      <c r="D323" s="14" t="inlineStr">
        <is>
          <t>CTCP Dược phẩm Cửu Long</t>
        </is>
      </c>
      <c r="E323" s="14" t="inlineStr">
        <is>
          <t>Y tế</t>
        </is>
      </c>
      <c r="F323" s="14" t="inlineStr">
        <is>
          <t>Dược phẩm và Y tế</t>
        </is>
      </c>
      <c r="G323" s="7" t="inlineStr">
        <is>
          <t>⭐ Đầu ngành</t>
        </is>
      </c>
      <c r="H323" s="15" t="n">
        <v>1172025</v>
      </c>
      <c r="I323" s="16" t="n">
        <v>40500</v>
      </c>
      <c r="J323" s="17" t="inlineStr">
        <is>
          <t>Cả tiền mặt &amp; cổ phiếu</t>
        </is>
      </c>
      <c r="K323" s="11" t="inlineStr">
        <is>
          <t>Hàng năm</t>
        </is>
      </c>
      <c r="L323" s="12" t="inlineStr">
        <is>
          <t>Có</t>
        </is>
      </c>
      <c r="M323" s="14" t="inlineStr">
        <is>
          <t>2018, 2014, 2010, 2009</t>
        </is>
      </c>
      <c r="N323" s="14" t="inlineStr">
        <is>
          <t>2016</t>
        </is>
      </c>
      <c r="O323" s="14" t="inlineStr">
        <is>
          <t>Tiền mặt hàng năm (2018, 2014, 2010, 2009); Cổ tức CP (2016)</t>
        </is>
      </c>
    </row>
    <row r="324" ht="22" customHeight="1">
      <c r="A324" s="4" t="n">
        <v>321</v>
      </c>
      <c r="B324" s="20" t="inlineStr">
        <is>
          <t>AMV</t>
        </is>
      </c>
      <c r="C324" s="4" t="inlineStr">
        <is>
          <t>HNX</t>
        </is>
      </c>
      <c r="D324" s="6" t="inlineStr">
        <is>
          <t>CTCP Sản xuất Kinh doanh Dược và Trang thiết bị Y tế Việt Mỹ</t>
        </is>
      </c>
      <c r="E324" s="6" t="inlineStr">
        <is>
          <t>Y tế</t>
        </is>
      </c>
      <c r="F324" s="6" t="inlineStr">
        <is>
          <t>Dược phẩm và Y tế</t>
        </is>
      </c>
      <c r="G324" s="7" t="inlineStr">
        <is>
          <t>⭐ Đầu ngành</t>
        </is>
      </c>
      <c r="H324" s="8" t="n">
        <v>328480</v>
      </c>
      <c r="I324" s="9" t="n">
        <v>1200</v>
      </c>
      <c r="J324" s="24" t="inlineStr">
        <is>
          <t>Cổ tức cổ phiếu</t>
        </is>
      </c>
      <c r="K324" s="4" t="inlineStr">
        <is>
          <t>Có</t>
        </is>
      </c>
      <c r="L324" s="12" t="inlineStr">
        <is>
          <t>Có</t>
        </is>
      </c>
      <c r="M324" s="6" t="inlineStr">
        <is>
          <t>2021, 2019</t>
        </is>
      </c>
      <c r="N324" s="6" t="inlineStr">
        <is>
          <t>2021, 2019</t>
        </is>
      </c>
      <c r="O324" s="6" t="inlineStr">
        <is>
          <t>Tiền mặt (2021, 2019); Cổ tức CP (2021, 2019)</t>
        </is>
      </c>
    </row>
    <row r="325" ht="22" customHeight="1">
      <c r="A325" s="13" t="n">
        <v>322</v>
      </c>
      <c r="B325" s="20" t="inlineStr">
        <is>
          <t>FIT</t>
        </is>
      </c>
      <c r="C325" s="13" t="inlineStr">
        <is>
          <t>HOSE</t>
        </is>
      </c>
      <c r="D325" s="14" t="inlineStr">
        <is>
          <t>CTCP Tập đoàn F.I.T</t>
        </is>
      </c>
      <c r="E325" s="14" t="inlineStr">
        <is>
          <t>Y tế</t>
        </is>
      </c>
      <c r="F325" s="14" t="inlineStr">
        <is>
          <t>Dược phẩm và Y tế</t>
        </is>
      </c>
      <c r="G325" s="7" t="inlineStr">
        <is>
          <t>⭐ Đầu ngành</t>
        </is>
      </c>
      <c r="H325" s="15" t="n">
        <v>224860</v>
      </c>
      <c r="I325" s="16" t="n">
        <v>3030</v>
      </c>
      <c r="J325" s="21" t="inlineStr">
        <is>
          <t>Cổ tức cổ phiếu</t>
        </is>
      </c>
      <c r="K325" s="13" t="inlineStr">
        <is>
          <t>Không</t>
        </is>
      </c>
      <c r="L325" s="12" t="inlineStr">
        <is>
          <t>Có</t>
        </is>
      </c>
      <c r="M325" s="14" t="inlineStr">
        <is>
          <t>-</t>
        </is>
      </c>
      <c r="N325" s="14" t="inlineStr">
        <is>
          <t>2022, 2016, 2015, 2014, 2013</t>
        </is>
      </c>
      <c r="O325" s="14" t="inlineStr">
        <is>
          <t>Cổ tức CP (2022, 2016, 2015, 2014, 2013)</t>
        </is>
      </c>
    </row>
    <row r="326" ht="22" customHeight="1">
      <c r="A326" s="4" t="n">
        <v>323</v>
      </c>
      <c r="B326" s="20" t="inlineStr">
        <is>
          <t>TNH</t>
        </is>
      </c>
      <c r="C326" s="4" t="inlineStr">
        <is>
          <t>HOSE</t>
        </is>
      </c>
      <c r="D326" s="6" t="inlineStr">
        <is>
          <t>CTCP Tập đoàn Bệnh viện TNH</t>
        </is>
      </c>
      <c r="E326" s="6" t="inlineStr">
        <is>
          <t>Y tế</t>
        </is>
      </c>
      <c r="F326" s="6" t="inlineStr">
        <is>
          <t>Dược phẩm và Y tế</t>
        </is>
      </c>
      <c r="G326" s="7" t="inlineStr">
        <is>
          <t>⭐ Đầu ngành</t>
        </is>
      </c>
      <c r="H326" s="8" t="n">
        <v>124730</v>
      </c>
      <c r="I326" s="9" t="n">
        <v>6650</v>
      </c>
      <c r="J326" s="24" t="inlineStr">
        <is>
          <t>Cổ tức cổ phiếu</t>
        </is>
      </c>
      <c r="K326" s="4" t="inlineStr">
        <is>
          <t>Không</t>
        </is>
      </c>
      <c r="L326" s="12" t="inlineStr">
        <is>
          <t>Có</t>
        </is>
      </c>
      <c r="M326" s="6" t="inlineStr">
        <is>
          <t>-</t>
        </is>
      </c>
      <c r="N326" s="6" t="inlineStr">
        <is>
          <t>2025, 2024, 2023, 2022</t>
        </is>
      </c>
      <c r="O326" s="6" t="inlineStr">
        <is>
          <t>Cổ tức CP (2025, 2024, 2023, 2022)</t>
        </is>
      </c>
    </row>
    <row r="327" ht="22" customHeight="1">
      <c r="A327" s="13" t="n">
        <v>324</v>
      </c>
      <c r="B327" s="5" t="inlineStr">
        <is>
          <t>DBD</t>
        </is>
      </c>
      <c r="C327" s="13" t="inlineStr">
        <is>
          <t>HOSE</t>
        </is>
      </c>
      <c r="D327" s="14" t="inlineStr">
        <is>
          <t>CTCP Dược - Trang thiết bị Y tế Bình Định (Bidiphar)</t>
        </is>
      </c>
      <c r="E327" s="14" t="inlineStr">
        <is>
          <t>Y tế</t>
        </is>
      </c>
      <c r="F327" s="14" t="inlineStr">
        <is>
          <t>Dược phẩm và Y tế</t>
        </is>
      </c>
      <c r="G327" s="7" t="inlineStr">
        <is>
          <t>⭐ Đầu ngành</t>
        </is>
      </c>
      <c r="H327" s="15" t="n">
        <v>53385</v>
      </c>
      <c r="I327" s="16" t="n">
        <v>46750</v>
      </c>
      <c r="J327" s="17" t="inlineStr">
        <is>
          <t>Cả tiền mặt &amp; cổ phiếu</t>
        </is>
      </c>
      <c r="K327" s="11" t="inlineStr">
        <is>
          <t>Hàng năm</t>
        </is>
      </c>
      <c r="L327" s="12" t="inlineStr">
        <is>
          <t>Có</t>
        </is>
      </c>
      <c r="M327" s="14" t="inlineStr">
        <is>
          <t>2026, 2025, 2023, 2021, 2019, 2018, 2017</t>
        </is>
      </c>
      <c r="N327" s="14" t="inlineStr">
        <is>
          <t>2024, 2022, 2021</t>
        </is>
      </c>
      <c r="O327" s="14" t="inlineStr">
        <is>
          <t>Tiền mặt hàng năm (2026, 2025, 2023, 2021, 2019, 2018, 2017); Cổ tức CP (2024, 2022, 2021)</t>
        </is>
      </c>
    </row>
    <row r="328" ht="22" customHeight="1">
      <c r="A328" s="4" t="n">
        <v>325</v>
      </c>
      <c r="B328" s="20" t="inlineStr">
        <is>
          <t>CVN</t>
        </is>
      </c>
      <c r="C328" s="4" t="inlineStr">
        <is>
          <t>UPCOM</t>
        </is>
      </c>
      <c r="D328" s="6" t="inlineStr">
        <is>
          <t>CTCP Vinam</t>
        </is>
      </c>
      <c r="E328" s="6" t="inlineStr">
        <is>
          <t>Y tế</t>
        </is>
      </c>
      <c r="F328" s="6" t="inlineStr">
        <is>
          <t>Dược phẩm và Y tế</t>
        </is>
      </c>
      <c r="G328" s="4" t="inlineStr">
        <is>
          <t>Thành viên</t>
        </is>
      </c>
      <c r="H328" s="8" t="n">
        <v>179270</v>
      </c>
      <c r="I328" s="9" t="n">
        <v>1200</v>
      </c>
      <c r="J328" s="24" t="inlineStr">
        <is>
          <t>Cổ tức cổ phiếu</t>
        </is>
      </c>
      <c r="K328" s="4" t="inlineStr">
        <is>
          <t>Có</t>
        </is>
      </c>
      <c r="L328" s="12" t="inlineStr">
        <is>
          <t>Có</t>
        </is>
      </c>
      <c r="M328" s="6" t="inlineStr">
        <is>
          <t>2020</t>
        </is>
      </c>
      <c r="N328" s="6" t="inlineStr">
        <is>
          <t>2020</t>
        </is>
      </c>
      <c r="O328" s="6" t="inlineStr">
        <is>
          <t>Tiền mặt (2020); Cổ tức CP (2020)</t>
        </is>
      </c>
    </row>
    <row r="329" ht="22" customHeight="1">
      <c r="A329" s="13" t="n">
        <v>326</v>
      </c>
      <c r="B329" s="20" t="inlineStr">
        <is>
          <t>SRA</t>
        </is>
      </c>
      <c r="C329" s="13" t="inlineStr">
        <is>
          <t>HNX</t>
        </is>
      </c>
      <c r="D329" s="14" t="inlineStr">
        <is>
          <t>CTCP Sara Việt Nam</t>
        </is>
      </c>
      <c r="E329" s="14" t="inlineStr">
        <is>
          <t>Y tế</t>
        </is>
      </c>
      <c r="F329" s="14" t="inlineStr">
        <is>
          <t>Dược phẩm và Y tế</t>
        </is>
      </c>
      <c r="G329" s="13" t="inlineStr">
        <is>
          <t>Thành viên</t>
        </is>
      </c>
      <c r="H329" s="15" t="n">
        <v>114142.8571428571</v>
      </c>
      <c r="I329" s="16" t="n">
        <v>1800</v>
      </c>
      <c r="J329" s="21" t="inlineStr">
        <is>
          <t>Cổ tức cổ phiếu</t>
        </is>
      </c>
      <c r="K329" s="13" t="inlineStr">
        <is>
          <t>Có</t>
        </is>
      </c>
      <c r="L329" s="12" t="inlineStr">
        <is>
          <t>Có</t>
        </is>
      </c>
      <c r="M329" s="14" t="inlineStr">
        <is>
          <t>2020, 2008</t>
        </is>
      </c>
      <c r="N329" s="14" t="inlineStr">
        <is>
          <t>2020</t>
        </is>
      </c>
      <c r="O329" s="14" t="inlineStr">
        <is>
          <t>Tiền mặt (2020, 2008); Cổ tức CP (2020)</t>
        </is>
      </c>
    </row>
    <row r="330" ht="22" customHeight="1">
      <c r="A330" s="4" t="n">
        <v>327</v>
      </c>
      <c r="B330" s="20" t="inlineStr">
        <is>
          <t>JVC</t>
        </is>
      </c>
      <c r="C330" s="4" t="inlineStr">
        <is>
          <t>HOSE</t>
        </is>
      </c>
      <c r="D330" s="6" t="inlineStr">
        <is>
          <t>CTCP Đầu tư và Phát triển Y tế Việt Nhật</t>
        </is>
      </c>
      <c r="E330" s="6" t="inlineStr">
        <is>
          <t>Y tế</t>
        </is>
      </c>
      <c r="F330" s="6" t="inlineStr">
        <is>
          <t>Dược phẩm và Y tế</t>
        </is>
      </c>
      <c r="G330" s="4" t="inlineStr">
        <is>
          <t>Thành viên</t>
        </is>
      </c>
      <c r="H330" s="8" t="n">
        <v>110600</v>
      </c>
      <c r="I330" s="9" t="n">
        <v>2780</v>
      </c>
      <c r="J330" s="24" t="inlineStr">
        <is>
          <t>Cổ tức cổ phiếu</t>
        </is>
      </c>
      <c r="K330" s="4" t="inlineStr">
        <is>
          <t>Có</t>
        </is>
      </c>
      <c r="L330" s="12" t="inlineStr">
        <is>
          <t>Có</t>
        </is>
      </c>
      <c r="M330" s="6" t="inlineStr">
        <is>
          <t>2014</t>
        </is>
      </c>
      <c r="N330" s="6" t="inlineStr">
        <is>
          <t>2013, 2012</t>
        </is>
      </c>
      <c r="O330" s="6" t="inlineStr">
        <is>
          <t>Tiền mặt (2014); Cổ tức CP (2013, 2012)</t>
        </is>
      </c>
    </row>
    <row r="331" ht="22" customHeight="1">
      <c r="A331" s="13" t="n">
        <v>328</v>
      </c>
      <c r="B331" s="20" t="inlineStr">
        <is>
          <t>DVM</t>
        </is>
      </c>
      <c r="C331" s="13" t="inlineStr">
        <is>
          <t>HNX</t>
        </is>
      </c>
      <c r="D331" s="14" t="inlineStr">
        <is>
          <t>CTCP Dược liệu Việt Nam</t>
        </is>
      </c>
      <c r="E331" s="14" t="inlineStr">
        <is>
          <t>Y tế</t>
        </is>
      </c>
      <c r="F331" s="14" t="inlineStr">
        <is>
          <t>Dược phẩm và Y tế</t>
        </is>
      </c>
      <c r="G331" s="13" t="inlineStr">
        <is>
          <t>Thành viên</t>
        </is>
      </c>
      <c r="H331" s="15" t="n">
        <v>96315</v>
      </c>
      <c r="I331" s="16" t="n">
        <v>4600</v>
      </c>
      <c r="J331" s="21" t="inlineStr">
        <is>
          <t>Cổ tức cổ phiếu</t>
        </is>
      </c>
      <c r="K331" s="13" t="inlineStr">
        <is>
          <t>Không</t>
        </is>
      </c>
      <c r="L331" s="12" t="inlineStr">
        <is>
          <t>Có</t>
        </is>
      </c>
      <c r="M331" s="14" t="inlineStr">
        <is>
          <t>-</t>
        </is>
      </c>
      <c r="N331" s="14" t="inlineStr">
        <is>
          <t>2025, 2024</t>
        </is>
      </c>
      <c r="O331" s="14" t="inlineStr">
        <is>
          <t>Cổ tức CP (2025, 2024)</t>
        </is>
      </c>
    </row>
    <row r="332" ht="22" customHeight="1">
      <c r="A332" s="4" t="n">
        <v>329</v>
      </c>
      <c r="B332" s="18" t="inlineStr">
        <is>
          <t>VHE</t>
        </is>
      </c>
      <c r="C332" s="4" t="inlineStr">
        <is>
          <t>HNX</t>
        </is>
      </c>
      <c r="D332" s="6" t="inlineStr">
        <is>
          <t>CTCP Dược liệu và Thực phẩm Việt Nam</t>
        </is>
      </c>
      <c r="E332" s="6" t="inlineStr">
        <is>
          <t>Y tế</t>
        </is>
      </c>
      <c r="F332" s="6" t="inlineStr">
        <is>
          <t>Dược phẩm và Y tế</t>
        </is>
      </c>
      <c r="G332" s="4" t="inlineStr">
        <is>
          <t>Thành viên</t>
        </is>
      </c>
      <c r="H332" s="8" t="n">
        <v>87285</v>
      </c>
      <c r="I332" s="9" t="n">
        <v>2900</v>
      </c>
      <c r="J332" s="19" t="inlineStr">
        <is>
          <t>Chưa chia / Khác</t>
        </is>
      </c>
      <c r="K332" s="4" t="inlineStr">
        <is>
          <t>Không</t>
        </is>
      </c>
      <c r="L332" s="4" t="inlineStr">
        <is>
          <t>Không</t>
        </is>
      </c>
      <c r="M332" s="6" t="inlineStr">
        <is>
          <t>-</t>
        </is>
      </c>
      <c r="N332" s="6" t="inlineStr">
        <is>
          <t>-</t>
        </is>
      </c>
      <c r="O332" s="6" t="inlineStr">
        <is>
          <t>Chưa có lịch sử chia cổ tức</t>
        </is>
      </c>
    </row>
    <row r="333" ht="22" customHeight="1">
      <c r="A333" s="13" t="n">
        <v>330</v>
      </c>
      <c r="B333" s="5" t="inlineStr">
        <is>
          <t>HUT</t>
        </is>
      </c>
      <c r="C333" s="13" t="inlineStr">
        <is>
          <t>HNX</t>
        </is>
      </c>
      <c r="D333" s="14" t="inlineStr">
        <is>
          <t>CTCP Tasco</t>
        </is>
      </c>
      <c r="E333" s="14" t="inlineStr">
        <is>
          <t>Ô tô và phụ tùng</t>
        </is>
      </c>
      <c r="F333" s="14" t="inlineStr">
        <is>
          <t>Hàng Tiêu dùng</t>
        </is>
      </c>
      <c r="G333" s="7" t="inlineStr">
        <is>
          <t>⭐ Đầu ngành</t>
        </is>
      </c>
      <c r="H333" s="15" t="n">
        <v>1532965</v>
      </c>
      <c r="I333" s="16" t="n">
        <v>13000</v>
      </c>
      <c r="J333" s="17" t="inlineStr">
        <is>
          <t>Cả tiền mặt &amp; cổ phiếu</t>
        </is>
      </c>
      <c r="K333" s="11" t="inlineStr">
        <is>
          <t>Hàng năm</t>
        </is>
      </c>
      <c r="L333" s="12" t="inlineStr">
        <is>
          <t>Có</t>
        </is>
      </c>
      <c r="M333" s="14" t="inlineStr">
        <is>
          <t>2018, 2017, 2016, 2011, 2010, 2009</t>
        </is>
      </c>
      <c r="N333" s="14" t="inlineStr">
        <is>
          <t>2018, 2017, 2016, 2015, 2013</t>
        </is>
      </c>
      <c r="O333" s="14" t="inlineStr">
        <is>
          <t>Tiền mặt hàng năm (2018, 2017, 2016, 2011, 2010, 2009); Cổ tức CP (2018, 2017, 2016, 2015, 2013)</t>
        </is>
      </c>
    </row>
    <row r="334" ht="22" customHeight="1">
      <c r="A334" s="4" t="n">
        <v>331</v>
      </c>
      <c r="B334" s="5" t="inlineStr">
        <is>
          <t>HHS</t>
        </is>
      </c>
      <c r="C334" s="4" t="inlineStr">
        <is>
          <t>HOSE</t>
        </is>
      </c>
      <c r="D334" s="6" t="inlineStr">
        <is>
          <t>CTCP Đầu tư Dịch vụ Hoàng Huy</t>
        </is>
      </c>
      <c r="E334" s="6" t="inlineStr">
        <is>
          <t>Ô tô và phụ tùng</t>
        </is>
      </c>
      <c r="F334" s="6" t="inlineStr">
        <is>
          <t>Hàng Tiêu dùng</t>
        </is>
      </c>
      <c r="G334" s="7" t="inlineStr">
        <is>
          <t>⭐ Đầu ngành</t>
        </is>
      </c>
      <c r="H334" s="8" t="n">
        <v>1193585</v>
      </c>
      <c r="I334" s="9" t="n">
        <v>10050</v>
      </c>
      <c r="J334" s="10" t="inlineStr">
        <is>
          <t>Cả tiền mặt &amp; cổ phiếu</t>
        </is>
      </c>
      <c r="K334" s="11" t="inlineStr">
        <is>
          <t>Hàng năm</t>
        </is>
      </c>
      <c r="L334" s="12" t="inlineStr">
        <is>
          <t>Có</t>
        </is>
      </c>
      <c r="M334" s="6" t="inlineStr">
        <is>
          <t>2020, 2016, 2015</t>
        </is>
      </c>
      <c r="N334" s="6" t="inlineStr">
        <is>
          <t>2024, 2023, 2021, 2016, 2015, 2014, 2013, 2012</t>
        </is>
      </c>
      <c r="O334" s="6" t="inlineStr">
        <is>
          <t>Tiền mặt hàng năm (2020, 2016, 2015); Cổ tức CP (2024, 2023, 2021, 2016, 2015, 2014, 2013, 2012)</t>
        </is>
      </c>
    </row>
    <row r="335" ht="22" customHeight="1">
      <c r="A335" s="13" t="n">
        <v>332</v>
      </c>
      <c r="B335" s="5" t="inlineStr">
        <is>
          <t>CTF</t>
        </is>
      </c>
      <c r="C335" s="13" t="inlineStr">
        <is>
          <t>HOSE</t>
        </is>
      </c>
      <c r="D335" s="14" t="inlineStr">
        <is>
          <t>CTCP City Auto</t>
        </is>
      </c>
      <c r="E335" s="14" t="inlineStr">
        <is>
          <t>Ô tô và phụ tùng</t>
        </is>
      </c>
      <c r="F335" s="14" t="inlineStr">
        <is>
          <t>Hàng Tiêu dùng</t>
        </is>
      </c>
      <c r="G335" s="7" t="inlineStr">
        <is>
          <t>⭐ Đầu ngành</t>
        </is>
      </c>
      <c r="H335" s="15" t="n">
        <v>313915</v>
      </c>
      <c r="I335" s="16" t="n">
        <v>21100</v>
      </c>
      <c r="J335" s="17" t="inlineStr">
        <is>
          <t>Cả tiền mặt &amp; cổ phiếu</t>
        </is>
      </c>
      <c r="K335" s="11" t="inlineStr">
        <is>
          <t>Hàng năm</t>
        </is>
      </c>
      <c r="L335" s="12" t="inlineStr">
        <is>
          <t>Có</t>
        </is>
      </c>
      <c r="M335" s="14" t="inlineStr">
        <is>
          <t>2025, 2018, 2017</t>
        </is>
      </c>
      <c r="N335" s="14" t="inlineStr">
        <is>
          <t>2024, 2023, 2022, 2021, 2019</t>
        </is>
      </c>
      <c r="O335" s="14" t="inlineStr">
        <is>
          <t>Tiền mặt hàng năm (2025, 2018, 2017); Cổ tức CP (2024, 2023, 2022, 2021, 2019)</t>
        </is>
      </c>
    </row>
    <row r="336" ht="22" customHeight="1">
      <c r="A336" s="4" t="n">
        <v>333</v>
      </c>
      <c r="B336" s="5" t="inlineStr">
        <is>
          <t>DRC</t>
        </is>
      </c>
      <c r="C336" s="4" t="inlineStr">
        <is>
          <t>HOSE</t>
        </is>
      </c>
      <c r="D336" s="6" t="inlineStr">
        <is>
          <t>CTCP Cao su Đà Nẵng</t>
        </is>
      </c>
      <c r="E336" s="6" t="inlineStr">
        <is>
          <t>Ô tô và phụ tùng</t>
        </is>
      </c>
      <c r="F336" s="6" t="inlineStr">
        <is>
          <t>Hàng Tiêu dùng</t>
        </is>
      </c>
      <c r="G336" s="7" t="inlineStr">
        <is>
          <t>⭐ Đầu ngành</t>
        </is>
      </c>
      <c r="H336" s="8" t="n">
        <v>156930</v>
      </c>
      <c r="I336" s="9" t="n">
        <v>10050</v>
      </c>
      <c r="J336" s="10" t="inlineStr">
        <is>
          <t>Cả tiền mặt &amp; cổ phiếu</t>
        </is>
      </c>
      <c r="K336" s="11" t="inlineStr">
        <is>
          <t>Hàng năm</t>
        </is>
      </c>
      <c r="L336" s="12" t="inlineStr">
        <is>
          <t>Có</t>
        </is>
      </c>
      <c r="M336" s="6" t="inlineStr">
        <is>
          <t>2026, 2025, 2024, 2023, 2022, 2021, 2020, 2019</t>
        </is>
      </c>
      <c r="N336" s="6" t="inlineStr">
        <is>
          <t>2025, 2016, 2012</t>
        </is>
      </c>
      <c r="O336" s="6" t="inlineStr">
        <is>
          <t>Tiền mặt hàng năm (2026, 2025, 2024, 2023, 2022, 2021, 2020, 2019); Cổ tức CP (2025, 2016, 2012)</t>
        </is>
      </c>
    </row>
    <row r="337" ht="22" customHeight="1">
      <c r="A337" s="13" t="n">
        <v>334</v>
      </c>
      <c r="B337" s="5" t="inlineStr">
        <is>
          <t>HAX</t>
        </is>
      </c>
      <c r="C337" s="13" t="inlineStr">
        <is>
          <t>HOSE</t>
        </is>
      </c>
      <c r="D337" s="14" t="inlineStr">
        <is>
          <t>CTCP Dịch vụ Ô tô Hàng Xanh</t>
        </is>
      </c>
      <c r="E337" s="14" t="inlineStr">
        <is>
          <t>Ô tô và phụ tùng</t>
        </is>
      </c>
      <c r="F337" s="14" t="inlineStr">
        <is>
          <t>Hàng Tiêu dùng</t>
        </is>
      </c>
      <c r="G337" s="7" t="inlineStr">
        <is>
          <t>⭐ Đầu ngành</t>
        </is>
      </c>
      <c r="H337" s="15" t="n">
        <v>87590</v>
      </c>
      <c r="I337" s="16" t="n">
        <v>8700</v>
      </c>
      <c r="J337" s="17" t="inlineStr">
        <is>
          <t>Cả tiền mặt &amp; cổ phiếu</t>
        </is>
      </c>
      <c r="K337" s="11" t="inlineStr">
        <is>
          <t>Hàng năm</t>
        </is>
      </c>
      <c r="L337" s="12" t="inlineStr">
        <is>
          <t>Có</t>
        </is>
      </c>
      <c r="M337" s="14" t="inlineStr">
        <is>
          <t>2025, 2024, 2023, 2022, 2020, 2019, 2018, 2010</t>
        </is>
      </c>
      <c r="N337" s="14" t="inlineStr">
        <is>
          <t>2024, 2023, 2022, 2021, 2018, 2017</t>
        </is>
      </c>
      <c r="O337" s="14" t="inlineStr">
        <is>
          <t>Tiền mặt hàng năm (2025, 2024, 2023, 2022, 2020, 2019, 2018, 2010); Cổ tức CP (2024, 2023, 2022, 2021, 2018, 2017)</t>
        </is>
      </c>
    </row>
    <row r="338" ht="22" customHeight="1">
      <c r="A338" s="4" t="n">
        <v>335</v>
      </c>
      <c r="B338" s="22" t="inlineStr">
        <is>
          <t>VKC</t>
        </is>
      </c>
      <c r="C338" s="4" t="inlineStr">
        <is>
          <t>UPCOM</t>
        </is>
      </c>
      <c r="D338" s="6" t="inlineStr">
        <is>
          <t xml:space="preserve">CTCP VKC Holdings </t>
        </is>
      </c>
      <c r="E338" s="6" t="inlineStr">
        <is>
          <t>Ô tô và phụ tùng</t>
        </is>
      </c>
      <c r="F338" s="6" t="inlineStr">
        <is>
          <t>Hàng Tiêu dùng</t>
        </is>
      </c>
      <c r="G338" s="4" t="inlineStr">
        <is>
          <t>Thành viên</t>
        </is>
      </c>
      <c r="H338" s="8" t="n">
        <v>323871.4285714286</v>
      </c>
      <c r="I338" s="9" t="n">
        <v>1100</v>
      </c>
      <c r="J338" s="27" t="inlineStr">
        <is>
          <t>Tiền mặt hàng năm</t>
        </is>
      </c>
      <c r="K338" s="11" t="inlineStr">
        <is>
          <t>Hàng năm</t>
        </is>
      </c>
      <c r="L338" s="4" t="inlineStr">
        <is>
          <t>Không</t>
        </is>
      </c>
      <c r="M338" s="6" t="inlineStr">
        <is>
          <t>2017, 2016, 2015, 2014, 2013</t>
        </is>
      </c>
      <c r="N338" s="6" t="inlineStr">
        <is>
          <t>-</t>
        </is>
      </c>
      <c r="O338" s="6" t="inlineStr">
        <is>
          <t>Tiền mặt hàng năm (2017, 2016, 2015, 2014, 2013)</t>
        </is>
      </c>
    </row>
    <row r="339" ht="22" customHeight="1">
      <c r="A339" s="13" t="n">
        <v>336</v>
      </c>
      <c r="B339" s="25" t="inlineStr">
        <is>
          <t>VVS</t>
        </is>
      </c>
      <c r="C339" s="13" t="inlineStr">
        <is>
          <t>HOSE</t>
        </is>
      </c>
      <c r="D339" s="14" t="inlineStr">
        <is>
          <t>CTCP Đầu tư phát triển máy Việt Nam</t>
        </is>
      </c>
      <c r="E339" s="14" t="inlineStr">
        <is>
          <t>Ô tô và phụ tùng</t>
        </is>
      </c>
      <c r="F339" s="14" t="inlineStr">
        <is>
          <t>Hàng Tiêu dùng</t>
        </is>
      </c>
      <c r="G339" s="13" t="inlineStr">
        <is>
          <t>Thành viên</t>
        </is>
      </c>
      <c r="H339" s="15" t="n">
        <v>109790</v>
      </c>
      <c r="I339" s="16" t="n">
        <v>82100</v>
      </c>
      <c r="J339" s="26" t="inlineStr">
        <is>
          <t>Tiền mặt không đều</t>
        </is>
      </c>
      <c r="K339" s="13" t="inlineStr">
        <is>
          <t>Có</t>
        </is>
      </c>
      <c r="L339" s="13" t="inlineStr">
        <is>
          <t>Không</t>
        </is>
      </c>
      <c r="M339" s="14" t="inlineStr">
        <is>
          <t>2025</t>
        </is>
      </c>
      <c r="N339" s="14" t="inlineStr">
        <is>
          <t>-</t>
        </is>
      </c>
      <c r="O339" s="14" t="inlineStr">
        <is>
          <t>Tiền mặt (2025)</t>
        </is>
      </c>
    </row>
    <row r="340" ht="22" customHeight="1">
      <c r="A340" s="4" t="n">
        <v>337</v>
      </c>
      <c r="B340" s="5" t="inlineStr">
        <is>
          <t>CSM</t>
        </is>
      </c>
      <c r="C340" s="4" t="inlineStr">
        <is>
          <t>HOSE</t>
        </is>
      </c>
      <c r="D340" s="6" t="inlineStr">
        <is>
          <t>CTCP Công nghiệp Cao su Miền Nam</t>
        </is>
      </c>
      <c r="E340" s="6" t="inlineStr">
        <is>
          <t>Ô tô và phụ tùng</t>
        </is>
      </c>
      <c r="F340" s="6" t="inlineStr">
        <is>
          <t>Hàng Tiêu dùng</t>
        </is>
      </c>
      <c r="G340" s="4" t="inlineStr">
        <is>
          <t>Thành viên</t>
        </is>
      </c>
      <c r="H340" s="8" t="n">
        <v>92160</v>
      </c>
      <c r="I340" s="9" t="n">
        <v>12450</v>
      </c>
      <c r="J340" s="10" t="inlineStr">
        <is>
          <t>Cả tiền mặt &amp; cổ phiếu</t>
        </is>
      </c>
      <c r="K340" s="11" t="inlineStr">
        <is>
          <t>Hàng năm</t>
        </is>
      </c>
      <c r="L340" s="12" t="inlineStr">
        <is>
          <t>Có</t>
        </is>
      </c>
      <c r="M340" s="6" t="inlineStr">
        <is>
          <t>2025, 2024, 2023, 2022, 2021, 2020, 2017, 2016</t>
        </is>
      </c>
      <c r="N340" s="6" t="inlineStr">
        <is>
          <t>2016, 2015, 2012</t>
        </is>
      </c>
      <c r="O340" s="6" t="inlineStr">
        <is>
          <t>Tiền mặt hàng năm (2025, 2024, 2023, 2022, 2021, 2020, 2017, 2016); Cổ tức CP (2016, 2015, 2012)</t>
        </is>
      </c>
    </row>
    <row r="341" ht="22" customHeight="1">
      <c r="A341" s="13" t="n">
        <v>338</v>
      </c>
      <c r="B341" s="5" t="inlineStr">
        <is>
          <t>POW</t>
        </is>
      </c>
      <c r="C341" s="13" t="inlineStr">
        <is>
          <t>HOSE</t>
        </is>
      </c>
      <c r="D341" s="14" t="inlineStr">
        <is>
          <t>Tổng Công ty Điện lực Dầu khí Việt Nam - CTCP</t>
        </is>
      </c>
      <c r="E341" s="14" t="inlineStr">
        <is>
          <t>Điện, nước &amp; xăng dầu khí đốt</t>
        </is>
      </c>
      <c r="F341" s="14" t="inlineStr">
        <is>
          <t>Tiện ích Cộng đồng</t>
        </is>
      </c>
      <c r="G341" s="7" t="inlineStr">
        <is>
          <t>⭐ Đầu ngành</t>
        </is>
      </c>
      <c r="H341" s="15" t="n">
        <v>6485865</v>
      </c>
      <c r="I341" s="16" t="n">
        <v>12600</v>
      </c>
      <c r="J341" s="17" t="inlineStr">
        <is>
          <t>Cả tiền mặt &amp; cổ phiếu</t>
        </is>
      </c>
      <c r="K341" s="11" t="inlineStr">
        <is>
          <t>Hàng năm</t>
        </is>
      </c>
      <c r="L341" s="12" t="inlineStr">
        <is>
          <t>Có</t>
        </is>
      </c>
      <c r="M341" s="14" t="inlineStr">
        <is>
          <t>2021, 2020</t>
        </is>
      </c>
      <c r="N341" s="14" t="inlineStr">
        <is>
          <t>2025</t>
        </is>
      </c>
      <c r="O341" s="14" t="inlineStr">
        <is>
          <t>Tiền mặt hàng năm (2021, 2020); Cổ tức CP (2025)</t>
        </is>
      </c>
    </row>
    <row r="342" ht="22" customHeight="1">
      <c r="A342" s="4" t="n">
        <v>339</v>
      </c>
      <c r="B342" s="5" t="inlineStr">
        <is>
          <t>GAS</t>
        </is>
      </c>
      <c r="C342" s="4" t="inlineStr">
        <is>
          <t>HOSE</t>
        </is>
      </c>
      <c r="D342" s="6" t="inlineStr">
        <is>
          <t>Tổng Công ty Khí Việt Nam - CTCP</t>
        </is>
      </c>
      <c r="E342" s="6" t="inlineStr">
        <is>
          <t>Điện, nước &amp; xăng dầu khí đốt</t>
        </is>
      </c>
      <c r="F342" s="6" t="inlineStr">
        <is>
          <t>Tiện ích Cộng đồng</t>
        </is>
      </c>
      <c r="G342" s="7" t="inlineStr">
        <is>
          <t>⭐ Đầu ngành</t>
        </is>
      </c>
      <c r="H342" s="8" t="n">
        <v>1809940</v>
      </c>
      <c r="I342" s="9" t="n">
        <v>88000</v>
      </c>
      <c r="J342" s="10" t="inlineStr">
        <is>
          <t>Cả tiền mặt &amp; cổ phiếu</t>
        </is>
      </c>
      <c r="K342" s="11" t="inlineStr">
        <is>
          <t>Hàng năm</t>
        </is>
      </c>
      <c r="L342" s="12" t="inlineStr">
        <is>
          <t>Có</t>
        </is>
      </c>
      <c r="M342" s="6" t="inlineStr">
        <is>
          <t>2025, 2024, 2023, 2022, 2021, 2020, 2019, 2018</t>
        </is>
      </c>
      <c r="N342" s="6" t="inlineStr">
        <is>
          <t>2025, 2024, 2023</t>
        </is>
      </c>
      <c r="O342" s="6" t="inlineStr">
        <is>
          <t>Tiền mặt hàng năm (2025, 2024, 2023, 2022, 2021, 2020, 2019, 2018); Cổ tức CP (2025, 2024, 2023)</t>
        </is>
      </c>
    </row>
    <row r="343" ht="22" customHeight="1">
      <c r="A343" s="13" t="n">
        <v>340</v>
      </c>
      <c r="B343" s="5" t="inlineStr">
        <is>
          <t>HDG</t>
        </is>
      </c>
      <c r="C343" s="13" t="inlineStr">
        <is>
          <t>HOSE</t>
        </is>
      </c>
      <c r="D343" s="14" t="inlineStr">
        <is>
          <t>CTCP Tập đoàn Hà Đô</t>
        </is>
      </c>
      <c r="E343" s="14" t="inlineStr">
        <is>
          <t>Điện, nước &amp; xăng dầu khí đốt</t>
        </is>
      </c>
      <c r="F343" s="14" t="inlineStr">
        <is>
          <t>Tiện ích Cộng đồng</t>
        </is>
      </c>
      <c r="G343" s="7" t="inlineStr">
        <is>
          <t>⭐ Đầu ngành</t>
        </is>
      </c>
      <c r="H343" s="15" t="n">
        <v>1186055</v>
      </c>
      <c r="I343" s="16" t="n">
        <v>16100</v>
      </c>
      <c r="J343" s="17" t="inlineStr">
        <is>
          <t>Cả tiền mặt &amp; cổ phiếu</t>
        </is>
      </c>
      <c r="K343" s="11" t="inlineStr">
        <is>
          <t>Hàng năm</t>
        </is>
      </c>
      <c r="L343" s="12" t="inlineStr">
        <is>
          <t>Có</t>
        </is>
      </c>
      <c r="M343" s="14" t="inlineStr">
        <is>
          <t>2026, 2024, 2021, 2019, 2018, 2017, 2016, 2014</t>
        </is>
      </c>
      <c r="N343" s="14" t="inlineStr">
        <is>
          <t>2026, 2025, 2024, 2023, 2022, 2021, 2020, 2019</t>
        </is>
      </c>
      <c r="O343" s="14" t="inlineStr">
        <is>
          <t>Tiền mặt hàng năm (2026, 2024, 2021, 2019, 2018, 2017, 2016, 2014); Cổ tức CP (2026, 2025, 2024, 2023, 2022, 2021, 2020, 2019)</t>
        </is>
      </c>
    </row>
    <row r="344" ht="22" customHeight="1">
      <c r="A344" s="4" t="n">
        <v>341</v>
      </c>
      <c r="B344" s="5" t="inlineStr">
        <is>
          <t>NT2</t>
        </is>
      </c>
      <c r="C344" s="4" t="inlineStr">
        <is>
          <t>HOSE</t>
        </is>
      </c>
      <c r="D344" s="6" t="inlineStr">
        <is>
          <t>CTCP Điện lực Dầu khí Nhơn Trạch 2</t>
        </is>
      </c>
      <c r="E344" s="6" t="inlineStr">
        <is>
          <t>Điện, nước &amp; xăng dầu khí đốt</t>
        </is>
      </c>
      <c r="F344" s="6" t="inlineStr">
        <is>
          <t>Tiện ích Cộng đồng</t>
        </is>
      </c>
      <c r="G344" s="7" t="inlineStr">
        <is>
          <t>⭐ Đầu ngành</t>
        </is>
      </c>
      <c r="H344" s="8" t="n">
        <v>495995</v>
      </c>
      <c r="I344" s="9" t="n">
        <v>20800</v>
      </c>
      <c r="J344" s="10" t="inlineStr">
        <is>
          <t>Cả tiền mặt &amp; cổ phiếu</t>
        </is>
      </c>
      <c r="K344" s="11" t="inlineStr">
        <is>
          <t>Hàng năm</t>
        </is>
      </c>
      <c r="L344" s="12" t="inlineStr">
        <is>
          <t>Có</t>
        </is>
      </c>
      <c r="M344" s="6" t="inlineStr">
        <is>
          <t>2025, 2024, 2023, 2022, 2021, 2020, 2018, 2017</t>
        </is>
      </c>
      <c r="N344" s="6" t="inlineStr">
        <is>
          <t>2016, 2015</t>
        </is>
      </c>
      <c r="O344" s="6" t="inlineStr">
        <is>
          <t>Tiền mặt hàng năm (2025, 2024, 2023, 2022, 2021, 2020, 2018, 2017); Cổ tức CP (2016, 2015)</t>
        </is>
      </c>
    </row>
    <row r="345" ht="22" customHeight="1">
      <c r="A345" s="13" t="n">
        <v>342</v>
      </c>
      <c r="B345" s="5" t="inlineStr">
        <is>
          <t>REE</t>
        </is>
      </c>
      <c r="C345" s="13" t="inlineStr">
        <is>
          <t>HOSE</t>
        </is>
      </c>
      <c r="D345" s="14" t="inlineStr">
        <is>
          <t>CTCP Cơ Điện Lạnh</t>
        </is>
      </c>
      <c r="E345" s="14" t="inlineStr">
        <is>
          <t>Điện, nước &amp; xăng dầu khí đốt</t>
        </is>
      </c>
      <c r="F345" s="14" t="inlineStr">
        <is>
          <t>Tiện ích Cộng đồng</t>
        </is>
      </c>
      <c r="G345" s="7" t="inlineStr">
        <is>
          <t>⭐ Đầu ngành</t>
        </is>
      </c>
      <c r="H345" s="15" t="n">
        <v>321160</v>
      </c>
      <c r="I345" s="16" t="n">
        <v>47050</v>
      </c>
      <c r="J345" s="17" t="inlineStr">
        <is>
          <t>Cả tiền mặt &amp; cổ phiếu</t>
        </is>
      </c>
      <c r="K345" s="11" t="inlineStr">
        <is>
          <t>Hàng năm</t>
        </is>
      </c>
      <c r="L345" s="12" t="inlineStr">
        <is>
          <t>Có</t>
        </is>
      </c>
      <c r="M345" s="14" t="inlineStr">
        <is>
          <t>2026, 2025, 2024, 2023, 2022, 2020, 2019, 2018</t>
        </is>
      </c>
      <c r="N345" s="14" t="inlineStr">
        <is>
          <t>2026, 2025, 2024, 2023, 2022, 2016</t>
        </is>
      </c>
      <c r="O345" s="14" t="inlineStr">
        <is>
          <t>Tiền mặt hàng năm (2026, 2025, 2024, 2023, 2022, 2020, 2019, 2018); Cổ tức CP (2026, 2025, 2024, 2023, 2022, 2016)</t>
        </is>
      </c>
    </row>
    <row r="346" ht="22" customHeight="1">
      <c r="A346" s="4" t="n">
        <v>343</v>
      </c>
      <c r="B346" s="5" t="inlineStr">
        <is>
          <t>GEG</t>
        </is>
      </c>
      <c r="C346" s="4" t="inlineStr">
        <is>
          <t>HOSE</t>
        </is>
      </c>
      <c r="D346" s="6" t="inlineStr">
        <is>
          <t>CTCP Điện Gia Lai</t>
        </is>
      </c>
      <c r="E346" s="6" t="inlineStr">
        <is>
          <t>Điện, nước &amp; xăng dầu khí đốt</t>
        </is>
      </c>
      <c r="F346" s="6" t="inlineStr">
        <is>
          <t>Tiện ích Cộng đồng</t>
        </is>
      </c>
      <c r="G346" s="7" t="inlineStr">
        <is>
          <t>⭐ Đầu ngành</t>
        </is>
      </c>
      <c r="H346" s="8" t="n">
        <v>160570</v>
      </c>
      <c r="I346" s="9" t="n">
        <v>12350</v>
      </c>
      <c r="J346" s="10" t="inlineStr">
        <is>
          <t>Cả tiền mặt &amp; cổ phiếu</t>
        </is>
      </c>
      <c r="K346" s="11" t="inlineStr">
        <is>
          <t>Hàng năm</t>
        </is>
      </c>
      <c r="L346" s="12" t="inlineStr">
        <is>
          <t>Có</t>
        </is>
      </c>
      <c r="M346" s="6" t="inlineStr">
        <is>
          <t>2021, 2019, 2018</t>
        </is>
      </c>
      <c r="N346" s="6" t="inlineStr">
        <is>
          <t>2026, 2024, 2023, 2022, 2021, 2020, 2017</t>
        </is>
      </c>
      <c r="O346" s="6" t="inlineStr">
        <is>
          <t>Tiền mặt hàng năm (2021, 2019, 2018); Cổ tức CP (2026, 2024, 2023, 2022, 2021, 2020, 2017)</t>
        </is>
      </c>
    </row>
    <row r="347" ht="22" customHeight="1">
      <c r="A347" s="13" t="n">
        <v>344</v>
      </c>
      <c r="B347" s="22" t="inlineStr">
        <is>
          <t>QTP</t>
        </is>
      </c>
      <c r="C347" s="13" t="inlineStr">
        <is>
          <t>UPCOM</t>
        </is>
      </c>
      <c r="D347" s="14" t="inlineStr">
        <is>
          <t>CTCP Nhiệt điện Quảng Ninh</t>
        </is>
      </c>
      <c r="E347" s="14" t="inlineStr">
        <is>
          <t>Điện, nước &amp; xăng dầu khí đốt</t>
        </is>
      </c>
      <c r="F347" s="14" t="inlineStr">
        <is>
          <t>Tiện ích Cộng đồng</t>
        </is>
      </c>
      <c r="G347" s="7" t="inlineStr">
        <is>
          <t>⭐ Đầu ngành</t>
        </is>
      </c>
      <c r="H347" s="15" t="n">
        <v>86095</v>
      </c>
      <c r="I347" s="16" t="n">
        <v>11000</v>
      </c>
      <c r="J347" s="23" t="inlineStr">
        <is>
          <t>Tiền mặt hàng năm</t>
        </is>
      </c>
      <c r="K347" s="11" t="inlineStr">
        <is>
          <t>Hàng năm</t>
        </is>
      </c>
      <c r="L347" s="13" t="inlineStr">
        <is>
          <t>Không</t>
        </is>
      </c>
      <c r="M347" s="14" t="inlineStr">
        <is>
          <t>2026, 2025, 2024, 2023, 2022, 2021, 2020</t>
        </is>
      </c>
      <c r="N347" s="14" t="inlineStr">
        <is>
          <t>-</t>
        </is>
      </c>
      <c r="O347" s="14" t="inlineStr">
        <is>
          <t>Tiền mặt hàng năm (2026, 2025, 2024, 2023, 2022, 2021, 2020)</t>
        </is>
      </c>
    </row>
    <row r="348" ht="22" customHeight="1">
      <c r="A348" s="4" t="n">
        <v>345</v>
      </c>
      <c r="B348" s="18" t="inlineStr">
        <is>
          <t>BGE</t>
        </is>
      </c>
      <c r="C348" s="4" t="inlineStr">
        <is>
          <t>UPCOM</t>
        </is>
      </c>
      <c r="D348" s="6" t="inlineStr">
        <is>
          <t>CTCP BCG Energy</t>
        </is>
      </c>
      <c r="E348" s="6" t="inlineStr">
        <is>
          <t>Điện, nước &amp; xăng dầu khí đốt</t>
        </is>
      </c>
      <c r="F348" s="6" t="inlineStr">
        <is>
          <t>Tiện ích Cộng đồng</t>
        </is>
      </c>
      <c r="G348" s="4" t="inlineStr">
        <is>
          <t>Thành viên</t>
        </is>
      </c>
      <c r="H348" s="8" t="n">
        <v>652557.1428571428</v>
      </c>
      <c r="I348" s="9" t="n">
        <v>3000</v>
      </c>
      <c r="J348" s="19" t="inlineStr">
        <is>
          <t>Chưa chia / Khác</t>
        </is>
      </c>
      <c r="K348" s="4" t="inlineStr">
        <is>
          <t>Không</t>
        </is>
      </c>
      <c r="L348" s="4" t="inlineStr">
        <is>
          <t>Không</t>
        </is>
      </c>
      <c r="M348" s="6" t="inlineStr">
        <is>
          <t>-</t>
        </is>
      </c>
      <c r="N348" s="6" t="inlineStr">
        <is>
          <t>-</t>
        </is>
      </c>
      <c r="O348" s="6" t="inlineStr">
        <is>
          <t>Chưa có lịch sử chia cổ tức</t>
        </is>
      </c>
    </row>
    <row r="349" ht="22" customHeight="1">
      <c r="A349" s="13" t="n">
        <v>346</v>
      </c>
      <c r="B349" s="20" t="inlineStr">
        <is>
          <t>DDG</t>
        </is>
      </c>
      <c r="C349" s="13" t="inlineStr">
        <is>
          <t>UPCOM</t>
        </is>
      </c>
      <c r="D349" s="14" t="inlineStr">
        <is>
          <t>CTCP Đầu tư Công nghiệp Xuất nhập khẩu Đông Dương</t>
        </is>
      </c>
      <c r="E349" s="14" t="inlineStr">
        <is>
          <t>Điện, nước &amp; xăng dầu khí đốt</t>
        </is>
      </c>
      <c r="F349" s="14" t="inlineStr">
        <is>
          <t>Tiện ích Cộng đồng</t>
        </is>
      </c>
      <c r="G349" s="13" t="inlineStr">
        <is>
          <t>Thành viên</t>
        </is>
      </c>
      <c r="H349" s="15" t="n">
        <v>309930</v>
      </c>
      <c r="I349" s="16" t="n">
        <v>1000</v>
      </c>
      <c r="J349" s="21" t="inlineStr">
        <is>
          <t>Cổ tức cổ phiếu</t>
        </is>
      </c>
      <c r="K349" s="13" t="inlineStr">
        <is>
          <t>Không</t>
        </is>
      </c>
      <c r="L349" s="12" t="inlineStr">
        <is>
          <t>Có</t>
        </is>
      </c>
      <c r="M349" s="14" t="inlineStr">
        <is>
          <t>-</t>
        </is>
      </c>
      <c r="N349" s="14" t="inlineStr">
        <is>
          <t>2020</t>
        </is>
      </c>
      <c r="O349" s="14" t="inlineStr">
        <is>
          <t>Cổ tức CP (2020)</t>
        </is>
      </c>
    </row>
    <row r="350" ht="22" customHeight="1">
      <c r="A350" s="4" t="n">
        <v>347</v>
      </c>
      <c r="B350" s="20" t="inlineStr">
        <is>
          <t>PPT</t>
        </is>
      </c>
      <c r="C350" s="4" t="inlineStr">
        <is>
          <t>HNX</t>
        </is>
      </c>
      <c r="D350" s="6" t="inlineStr">
        <is>
          <t>CTCP Petro Times</t>
        </is>
      </c>
      <c r="E350" s="6" t="inlineStr">
        <is>
          <t>Điện, nước &amp; xăng dầu khí đốt</t>
        </is>
      </c>
      <c r="F350" s="6" t="inlineStr">
        <is>
          <t>Tiện ích Cộng đồng</t>
        </is>
      </c>
      <c r="G350" s="4" t="inlineStr">
        <is>
          <t>Thành viên</t>
        </is>
      </c>
      <c r="H350" s="8" t="n">
        <v>214360</v>
      </c>
      <c r="I350" s="9" t="n">
        <v>15300</v>
      </c>
      <c r="J350" s="24" t="inlineStr">
        <is>
          <t>Cổ tức cổ phiếu</t>
        </is>
      </c>
      <c r="K350" s="4" t="inlineStr">
        <is>
          <t>Không</t>
        </is>
      </c>
      <c r="L350" s="12" t="inlineStr">
        <is>
          <t>Có</t>
        </is>
      </c>
      <c r="M350" s="6" t="inlineStr">
        <is>
          <t>-</t>
        </is>
      </c>
      <c r="N350" s="6" t="inlineStr">
        <is>
          <t>2025, 2024</t>
        </is>
      </c>
      <c r="O350" s="6" t="inlineStr">
        <is>
          <t>Cổ tức CP (2025, 2024)</t>
        </is>
      </c>
    </row>
    <row r="351" ht="22" customHeight="1">
      <c r="A351" s="13" t="n">
        <v>348</v>
      </c>
      <c r="B351" s="22" t="inlineStr">
        <is>
          <t>ASP</t>
        </is>
      </c>
      <c r="C351" s="13" t="inlineStr">
        <is>
          <t>HOSE</t>
        </is>
      </c>
      <c r="D351" s="14" t="inlineStr">
        <is>
          <t>CTCP Tập đoàn Dầu khí An Pha</t>
        </is>
      </c>
      <c r="E351" s="14" t="inlineStr">
        <is>
          <t>Điện, nước &amp; xăng dầu khí đốt</t>
        </is>
      </c>
      <c r="F351" s="14" t="inlineStr">
        <is>
          <t>Tiện ích Cộng đồng</t>
        </is>
      </c>
      <c r="G351" s="13" t="inlineStr">
        <is>
          <t>Thành viên</t>
        </is>
      </c>
      <c r="H351" s="15" t="n">
        <v>182520</v>
      </c>
      <c r="I351" s="16" t="n">
        <v>15150</v>
      </c>
      <c r="J351" s="23" t="inlineStr">
        <is>
          <t>Tiền mặt hàng năm</t>
        </is>
      </c>
      <c r="K351" s="11" t="inlineStr">
        <is>
          <t>Hàng năm</t>
        </is>
      </c>
      <c r="L351" s="13" t="inlineStr">
        <is>
          <t>Không</t>
        </is>
      </c>
      <c r="M351" s="14" t="inlineStr">
        <is>
          <t>2022, 2021, 2020, 2019, 2018, 2017, 2015, 2014</t>
        </is>
      </c>
      <c r="N351" s="14" t="inlineStr">
        <is>
          <t>-</t>
        </is>
      </c>
      <c r="O351" s="14" t="inlineStr">
        <is>
          <t>Tiền mặt hàng năm (2022, 2021, 2020, 2019, 2018, 2017, 2015, 2014)</t>
        </is>
      </c>
    </row>
    <row r="352" ht="22" customHeight="1">
      <c r="A352" s="4" t="n">
        <v>349</v>
      </c>
      <c r="B352" s="20" t="inlineStr">
        <is>
          <t>TTA</t>
        </is>
      </c>
      <c r="C352" s="4" t="inlineStr">
        <is>
          <t>HOSE</t>
        </is>
      </c>
      <c r="D352" s="6" t="inlineStr">
        <is>
          <t>CTCP Đầu tư Xây dựng và Phát triển Trường Thành</t>
        </is>
      </c>
      <c r="E352" s="6" t="inlineStr">
        <is>
          <t>Điện, nước &amp; xăng dầu khí đốt</t>
        </is>
      </c>
      <c r="F352" s="6" t="inlineStr">
        <is>
          <t>Tiện ích Cộng đồng</t>
        </is>
      </c>
      <c r="G352" s="4" t="inlineStr">
        <is>
          <t>Thành viên</t>
        </is>
      </c>
      <c r="H352" s="8" t="n">
        <v>172965</v>
      </c>
      <c r="I352" s="9" t="n">
        <v>11150</v>
      </c>
      <c r="J352" s="24" t="inlineStr">
        <is>
          <t>Cổ tức cổ phiếu</t>
        </is>
      </c>
      <c r="K352" s="4" t="inlineStr">
        <is>
          <t>Không</t>
        </is>
      </c>
      <c r="L352" s="12" t="inlineStr">
        <is>
          <t>Có</t>
        </is>
      </c>
      <c r="M352" s="6" t="inlineStr">
        <is>
          <t>-</t>
        </is>
      </c>
      <c r="N352" s="6" t="inlineStr">
        <is>
          <t>2025, 2023, 2022, 2021</t>
        </is>
      </c>
      <c r="O352" s="6" t="inlineStr">
        <is>
          <t>Cổ tức CP (2025, 2023, 2022, 2021)</t>
        </is>
      </c>
    </row>
    <row r="353" ht="22" customHeight="1">
      <c r="A353" s="13" t="n">
        <v>350</v>
      </c>
      <c r="B353" s="22" t="inlineStr">
        <is>
          <t>PPC</t>
        </is>
      </c>
      <c r="C353" s="13" t="inlineStr">
        <is>
          <t>HOSE</t>
        </is>
      </c>
      <c r="D353" s="14" t="inlineStr">
        <is>
          <t>CTCP Nhiệt điện Phả Lại</t>
        </is>
      </c>
      <c r="E353" s="14" t="inlineStr">
        <is>
          <t>Điện, nước &amp; xăng dầu khí đốt</t>
        </is>
      </c>
      <c r="F353" s="14" t="inlineStr">
        <is>
          <t>Tiện ích Cộng đồng</t>
        </is>
      </c>
      <c r="G353" s="13" t="inlineStr">
        <is>
          <t>Thành viên</t>
        </is>
      </c>
      <c r="H353" s="15" t="n">
        <v>103440</v>
      </c>
      <c r="I353" s="16" t="n">
        <v>8780</v>
      </c>
      <c r="J353" s="23" t="inlineStr">
        <is>
          <t>Tiền mặt hàng năm</t>
        </is>
      </c>
      <c r="K353" s="11" t="inlineStr">
        <is>
          <t>Hàng năm</t>
        </is>
      </c>
      <c r="L353" s="13" t="inlineStr">
        <is>
          <t>Không</t>
        </is>
      </c>
      <c r="M353" s="14" t="inlineStr">
        <is>
          <t>2025, 2024, 2023, 2022, 2021, 2020, 2019, 2018</t>
        </is>
      </c>
      <c r="N353" s="14" t="inlineStr">
        <is>
          <t>-</t>
        </is>
      </c>
      <c r="O353" s="14" t="inlineStr">
        <is>
          <t>Tiền mặt hàng năm (2025, 2024, 2023, 2022, 2021, 2020, 2019, 2018)</t>
        </is>
      </c>
    </row>
    <row r="354" ht="22" customHeight="1">
      <c r="A354" s="4" t="n">
        <v>351</v>
      </c>
      <c r="B354" s="5" t="inlineStr">
        <is>
          <t>PVG</t>
        </is>
      </c>
      <c r="C354" s="4" t="inlineStr">
        <is>
          <t>HNX</t>
        </is>
      </c>
      <c r="D354" s="6" t="inlineStr">
        <is>
          <t>CTCP Kinh doanh LPG Việt Nam</t>
        </is>
      </c>
      <c r="E354" s="6" t="inlineStr">
        <is>
          <t>Điện, nước &amp; xăng dầu khí đốt</t>
        </is>
      </c>
      <c r="F354" s="6" t="inlineStr">
        <is>
          <t>Tiện ích Cộng đồng</t>
        </is>
      </c>
      <c r="G354" s="4" t="inlineStr">
        <is>
          <t>Thành viên</t>
        </is>
      </c>
      <c r="H354" s="8" t="n">
        <v>88160</v>
      </c>
      <c r="I354" s="9" t="n">
        <v>6000</v>
      </c>
      <c r="J354" s="10" t="inlineStr">
        <is>
          <t>Cả tiền mặt &amp; cổ phiếu</t>
        </is>
      </c>
      <c r="K354" s="11" t="inlineStr">
        <is>
          <t>Hàng năm</t>
        </is>
      </c>
      <c r="L354" s="12" t="inlineStr">
        <is>
          <t>Có</t>
        </is>
      </c>
      <c r="M354" s="6" t="inlineStr">
        <is>
          <t>2023, 2022, 2019, 2016, 2014, 2013, 2011, 2010</t>
        </is>
      </c>
      <c r="N354" s="6" t="inlineStr">
        <is>
          <t>2024</t>
        </is>
      </c>
      <c r="O354" s="6" t="inlineStr">
        <is>
          <t>Tiền mặt hàng năm (2023, 2022, 2019, 2016, 2014, 2013, 2011, 2010); Cổ tức CP (2024)</t>
        </is>
      </c>
    </row>
    <row r="355" ht="22" customHeight="1">
      <c r="A355" s="13" t="n">
        <v>352</v>
      </c>
      <c r="B355" s="5" t="inlineStr">
        <is>
          <t>PGC</t>
        </is>
      </c>
      <c r="C355" s="13" t="inlineStr">
        <is>
          <t>HOSE</t>
        </is>
      </c>
      <c r="D355" s="14" t="inlineStr">
        <is>
          <t>Tổng Công ty Gas Petrolimex - CTCP</t>
        </is>
      </c>
      <c r="E355" s="14" t="inlineStr">
        <is>
          <t>Điện, nước &amp; xăng dầu khí đốt</t>
        </is>
      </c>
      <c r="F355" s="14" t="inlineStr">
        <is>
          <t>Tiện ích Cộng đồng</t>
        </is>
      </c>
      <c r="G355" s="13" t="inlineStr">
        <is>
          <t>Thành viên</t>
        </is>
      </c>
      <c r="H355" s="15" t="n">
        <v>79035</v>
      </c>
      <c r="I355" s="16" t="n">
        <v>14500</v>
      </c>
      <c r="J355" s="17" t="inlineStr">
        <is>
          <t>Cả tiền mặt &amp; cổ phiếu</t>
        </is>
      </c>
      <c r="K355" s="11" t="inlineStr">
        <is>
          <t>Hàng năm</t>
        </is>
      </c>
      <c r="L355" s="12" t="inlineStr">
        <is>
          <t>Có</t>
        </is>
      </c>
      <c r="M355" s="14" t="inlineStr">
        <is>
          <t>2026, 2025, 2024, 2023, 2022, 2021, 2020, 2019</t>
        </is>
      </c>
      <c r="N355" s="14" t="inlineStr">
        <is>
          <t>2015, 2013</t>
        </is>
      </c>
      <c r="O355" s="14" t="inlineStr">
        <is>
          <t>Tiền mặt hàng năm (2026, 2025, 2024, 2023, 2022, 2021, 2020, 2019); Cổ tức CP (2015, 2013)</t>
        </is>
      </c>
    </row>
    <row r="356" ht="22" customHeight="1">
      <c r="A356" s="4" t="n">
        <v>353</v>
      </c>
      <c r="B356" s="22" t="inlineStr">
        <is>
          <t>TLP</t>
        </is>
      </c>
      <c r="C356" s="4" t="inlineStr">
        <is>
          <t>UPCOM</t>
        </is>
      </c>
      <c r="D356" s="6" t="inlineStr">
        <is>
          <t>Tổng Công ty Thương mại Xuất nhập khẩu Thanh Lễ - CTCP</t>
        </is>
      </c>
      <c r="E356" s="6" t="inlineStr">
        <is>
          <t>Điện, nước &amp; xăng dầu khí đốt</t>
        </is>
      </c>
      <c r="F356" s="6" t="inlineStr">
        <is>
          <t>Tiện ích Cộng đồng</t>
        </is>
      </c>
      <c r="G356" s="4" t="inlineStr">
        <is>
          <t>Thành viên</t>
        </is>
      </c>
      <c r="H356" s="8" t="n">
        <v>61465</v>
      </c>
      <c r="I356" s="9" t="n">
        <v>6700</v>
      </c>
      <c r="J356" s="27" t="inlineStr">
        <is>
          <t>Tiền mặt hàng năm</t>
        </is>
      </c>
      <c r="K356" s="11" t="inlineStr">
        <is>
          <t>Hàng năm</t>
        </is>
      </c>
      <c r="L356" s="4" t="inlineStr">
        <is>
          <t>Không</t>
        </is>
      </c>
      <c r="M356" s="6" t="inlineStr">
        <is>
          <t>2025, 2024, 2022, 2021, 2020, 2019</t>
        </is>
      </c>
      <c r="N356" s="6" t="inlineStr">
        <is>
          <t>-</t>
        </is>
      </c>
      <c r="O356" s="6" t="inlineStr">
        <is>
          <t>Tiền mặt hàng năm (2025, 2024, 2022, 2021, 2020, 2019)</t>
        </is>
      </c>
    </row>
  </sheetData>
  <autoFilter ref="A3:O356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38" customWidth="1" min="4" max="4"/>
    <col width="26" customWidth="1" min="5" max="5"/>
    <col width="22" customWidth="1" min="6" max="6"/>
    <col width="16" customWidth="1" min="7" max="7"/>
    <col width="22" customWidth="1" min="8" max="8"/>
    <col width="20" customWidth="1" min="9" max="9"/>
    <col width="24" customWidth="1" min="10" max="10"/>
    <col width="18" customWidth="1" min="11" max="11"/>
    <col width="18" customWidth="1" min="12" max="12"/>
    <col width="28" customWidth="1" min="13" max="13"/>
    <col width="28" customWidth="1" min="14" max="14"/>
    <col width="40" customWidth="1" min="15" max="15"/>
  </cols>
  <sheetData>
    <row r="1" ht="40" customHeight="1">
      <c r="A1" s="1" t="inlineStr">
        <is>
          <t>THỐNG KÊ CỔ PHIẾU 3 SÀN (HOSE, HNX, UPCOM) - DANH SÁCH MÃ ĐẦU NGÀNH (110 MÃ)</t>
        </is>
      </c>
    </row>
    <row r="2" ht="24" customHeight="1">
      <c r="A2" s="2" t="inlineStr">
        <is>
          <t>Tiêu chí: Khối lượng giao dịch bình quân 20 phiên &gt;= 50,000 CP | Đánh dấu đầu ngành | Tô đậm xanh: Cổ tức tiền mặt hàng năm | Tô đậm đỏ: Cổ tức cổ phiếu</t>
        </is>
      </c>
    </row>
    <row r="3" ht="28" customHeight="1">
      <c r="A3" s="3" t="inlineStr">
        <is>
          <t>STT</t>
        </is>
      </c>
      <c r="B3" s="3" t="inlineStr">
        <is>
          <t>Mã CK</t>
        </is>
      </c>
      <c r="C3" s="3" t="inlineStr">
        <is>
          <t>Sàn GD</t>
        </is>
      </c>
      <c r="D3" s="3" t="inlineStr">
        <is>
          <t>Tên doanh nghiệp niêm yết</t>
        </is>
      </c>
      <c r="E3" s="3" t="inlineStr">
        <is>
          <t>Nhóm ngành (ICB Cấp 2)</t>
        </is>
      </c>
      <c r="F3" s="3" t="inlineStr">
        <is>
          <t>Ngành tổng quan (Cấp 1)</t>
        </is>
      </c>
      <c r="G3" s="3" t="inlineStr">
        <is>
          <t>Vị thế ngành</t>
        </is>
      </c>
      <c r="H3" s="3" t="inlineStr">
        <is>
          <t>KLGD BQ 20 phiên (CP)</t>
        </is>
      </c>
      <c r="I3" s="3" t="inlineStr">
        <is>
          <t>Thị giá gần nhất (VNĐ)</t>
        </is>
      </c>
      <c r="J3" s="3" t="inlineStr">
        <is>
          <t>Hình thức cổ tức</t>
        </is>
      </c>
      <c r="K3" s="3" t="inlineStr">
        <is>
          <t>Cổ tức tiền mặt</t>
        </is>
      </c>
      <c r="L3" s="3" t="inlineStr">
        <is>
          <t>Cổ tức cổ phiếu</t>
        </is>
      </c>
      <c r="M3" s="3" t="inlineStr">
        <is>
          <t>Năm chia cổ tức tiền mặt</t>
        </is>
      </c>
      <c r="N3" s="3" t="inlineStr">
        <is>
          <t>Năm chia cổ tức cổ phiếu</t>
        </is>
      </c>
      <c r="O3" s="3" t="inlineStr">
        <is>
          <t>Ghi chú lịch sử cổ tức</t>
        </is>
      </c>
    </row>
    <row r="4" ht="22" customHeight="1">
      <c r="A4" s="4" t="n">
        <v>1</v>
      </c>
      <c r="B4" s="5" t="inlineStr">
        <is>
          <t>MWG</t>
        </is>
      </c>
      <c r="C4" s="4" t="inlineStr">
        <is>
          <t>HOSE</t>
        </is>
      </c>
      <c r="D4" s="6" t="inlineStr">
        <is>
          <t>CTCP Đầu tư Thế giới Di động</t>
        </is>
      </c>
      <c r="E4" s="6" t="inlineStr">
        <is>
          <t>Bán lẻ</t>
        </is>
      </c>
      <c r="F4" s="6" t="inlineStr">
        <is>
          <t>Dịch vụ Tiêu dùng</t>
        </is>
      </c>
      <c r="G4" s="7" t="inlineStr">
        <is>
          <t>⭐ Đầu ngành</t>
        </is>
      </c>
      <c r="H4" s="8" t="n">
        <v>2587390</v>
      </c>
      <c r="I4" s="9" t="n">
        <v>72500</v>
      </c>
      <c r="J4" s="10" t="inlineStr">
        <is>
          <t>Cả tiền mặt &amp; cổ phiếu</t>
        </is>
      </c>
      <c r="K4" s="11" t="inlineStr">
        <is>
          <t>Hàng năm</t>
        </is>
      </c>
      <c r="L4" s="12" t="inlineStr">
        <is>
          <t>Có</t>
        </is>
      </c>
      <c r="M4" s="6" t="inlineStr">
        <is>
          <t>2026, 2025, 2024, 2023, 2022, 2021, 2020, 2019</t>
        </is>
      </c>
      <c r="N4" s="6" t="inlineStr">
        <is>
          <t>2022, 2021, 2018, 2017, 2015, 2014</t>
        </is>
      </c>
      <c r="O4" s="6" t="inlineStr">
        <is>
          <t>Tiền mặt hàng năm (2026, 2025, 2024, 2023, 2022, 2021, 2020, 2019); Cổ tức CP (2022, 2021, 2018, 2017, 2015, 2014)</t>
        </is>
      </c>
    </row>
    <row r="5" ht="22" customHeight="1">
      <c r="A5" s="13" t="n">
        <v>2</v>
      </c>
      <c r="B5" s="5" t="inlineStr">
        <is>
          <t>DGW</t>
        </is>
      </c>
      <c r="C5" s="13" t="inlineStr">
        <is>
          <t>HOSE</t>
        </is>
      </c>
      <c r="D5" s="14" t="inlineStr">
        <is>
          <t>CTCP Thế Giới Số</t>
        </is>
      </c>
      <c r="E5" s="14" t="inlineStr">
        <is>
          <t>Bán lẻ</t>
        </is>
      </c>
      <c r="F5" s="14" t="inlineStr">
        <is>
          <t>Dịch vụ Tiêu dùng</t>
        </is>
      </c>
      <c r="G5" s="7" t="inlineStr">
        <is>
          <t>⭐ Đầu ngành</t>
        </is>
      </c>
      <c r="H5" s="15" t="n">
        <v>1989610</v>
      </c>
      <c r="I5" s="16" t="n">
        <v>45500</v>
      </c>
      <c r="J5" s="17" t="inlineStr">
        <is>
          <t>Cả tiền mặt &amp; cổ phiếu</t>
        </is>
      </c>
      <c r="K5" s="11" t="inlineStr">
        <is>
          <t>Hàng năm</t>
        </is>
      </c>
      <c r="L5" s="12" t="inlineStr">
        <is>
          <t>Có</t>
        </is>
      </c>
      <c r="M5" s="14" t="inlineStr">
        <is>
          <t>2026, 2025, 2024, 2023, 2022, 2021, 2020, 2019</t>
        </is>
      </c>
      <c r="N5" s="14" t="inlineStr">
        <is>
          <t>2024, 2022, 2021, 2016, 2015</t>
        </is>
      </c>
      <c r="O5" s="14" t="inlineStr">
        <is>
          <t>Tiền mặt hàng năm (2026, 2025, 2024, 2023, 2022, 2021, 2020, 2019); Cổ tức CP (2024, 2022, 2021, 2016, 2015)</t>
        </is>
      </c>
    </row>
    <row r="6" ht="22" customHeight="1">
      <c r="A6" s="4" t="n">
        <v>3</v>
      </c>
      <c r="B6" s="5" t="inlineStr">
        <is>
          <t>FRT</t>
        </is>
      </c>
      <c r="C6" s="4" t="inlineStr">
        <is>
          <t>HOSE</t>
        </is>
      </c>
      <c r="D6" s="6" t="inlineStr">
        <is>
          <t>CTCP Bán lẻ Kỹ thuật số FPT</t>
        </is>
      </c>
      <c r="E6" s="6" t="inlineStr">
        <is>
          <t>Bán lẻ</t>
        </is>
      </c>
      <c r="F6" s="6" t="inlineStr">
        <is>
          <t>Dịch vụ Tiêu dùng</t>
        </is>
      </c>
      <c r="G6" s="7" t="inlineStr">
        <is>
          <t>⭐ Đầu ngành</t>
        </is>
      </c>
      <c r="H6" s="8" t="n">
        <v>373490</v>
      </c>
      <c r="I6" s="9" t="n">
        <v>130900</v>
      </c>
      <c r="J6" s="10" t="inlineStr">
        <is>
          <t>Cả tiền mặt &amp; cổ phiếu</t>
        </is>
      </c>
      <c r="K6" s="11" t="inlineStr">
        <is>
          <t>Hàng năm</t>
        </is>
      </c>
      <c r="L6" s="12" t="inlineStr">
        <is>
          <t>Có</t>
        </is>
      </c>
      <c r="M6" s="6" t="inlineStr">
        <is>
          <t>2023, 2022, 2020, 2019</t>
        </is>
      </c>
      <c r="N6" s="6" t="inlineStr">
        <is>
          <t>2026, 2025, 2023, 2022, 2019, 2018</t>
        </is>
      </c>
      <c r="O6" s="6" t="inlineStr">
        <is>
          <t>Tiền mặt hàng năm (2023, 2022, 2020, 2019); Cổ tức CP (2026, 2025, 2023, 2022, 2019, 2018)</t>
        </is>
      </c>
    </row>
    <row r="7" ht="22" customHeight="1">
      <c r="A7" s="13" t="n">
        <v>4</v>
      </c>
      <c r="B7" s="5" t="inlineStr">
        <is>
          <t>PET</t>
        </is>
      </c>
      <c r="C7" s="13" t="inlineStr">
        <is>
          <t>HOSE</t>
        </is>
      </c>
      <c r="D7" s="14" t="inlineStr">
        <is>
          <t>Tổng Công ty cổ phần Dịch vụ Tổng hợp Dầu khí</t>
        </is>
      </c>
      <c r="E7" s="14" t="inlineStr">
        <is>
          <t>Bán lẻ</t>
        </is>
      </c>
      <c r="F7" s="14" t="inlineStr">
        <is>
          <t>Dịch vụ Tiêu dùng</t>
        </is>
      </c>
      <c r="G7" s="7" t="inlineStr">
        <is>
          <t>⭐ Đầu ngành</t>
        </is>
      </c>
      <c r="H7" s="15" t="n">
        <v>322620</v>
      </c>
      <c r="I7" s="16" t="n">
        <v>38900</v>
      </c>
      <c r="J7" s="17" t="inlineStr">
        <is>
          <t>Cả tiền mặt &amp; cổ phiếu</t>
        </is>
      </c>
      <c r="K7" s="11" t="inlineStr">
        <is>
          <t>Hàng năm</t>
        </is>
      </c>
      <c r="L7" s="12" t="inlineStr">
        <is>
          <t>Có</t>
        </is>
      </c>
      <c r="M7" s="14" t="inlineStr">
        <is>
          <t>2026, 2021, 2020, 2019, 2018, 2017, 2016, 2015</t>
        </is>
      </c>
      <c r="N7" s="14" t="inlineStr">
        <is>
          <t>2026, 2023, 2015</t>
        </is>
      </c>
      <c r="O7" s="14" t="inlineStr">
        <is>
          <t>Tiền mặt hàng năm (2026, 2021, 2020, 2019, 2018, 2017, 2016, 2015); Cổ tức CP (2026, 2023, 2015)</t>
        </is>
      </c>
    </row>
    <row r="8" ht="22" customHeight="1">
      <c r="A8" s="4" t="n">
        <v>5</v>
      </c>
      <c r="B8" s="22" t="inlineStr">
        <is>
          <t>BVH</t>
        </is>
      </c>
      <c r="C8" s="4" t="inlineStr">
        <is>
          <t>HOSE</t>
        </is>
      </c>
      <c r="D8" s="6" t="inlineStr">
        <is>
          <t>Tập đoàn Bảo Việt</t>
        </is>
      </c>
      <c r="E8" s="6" t="inlineStr">
        <is>
          <t>Bảo hiểm</t>
        </is>
      </c>
      <c r="F8" s="6" t="inlineStr">
        <is>
          <t>Tài chính</t>
        </is>
      </c>
      <c r="G8" s="7" t="inlineStr">
        <is>
          <t>⭐ Đầu ngành</t>
        </is>
      </c>
      <c r="H8" s="8" t="n">
        <v>606465</v>
      </c>
      <c r="I8" s="9" t="n">
        <v>68500</v>
      </c>
      <c r="J8" s="27" t="inlineStr">
        <is>
          <t>Tiền mặt hàng năm</t>
        </is>
      </c>
      <c r="K8" s="11" t="inlineStr">
        <is>
          <t>Hàng năm</t>
        </is>
      </c>
      <c r="L8" s="4" t="inlineStr">
        <is>
          <t>Không</t>
        </is>
      </c>
      <c r="M8" s="6" t="inlineStr">
        <is>
          <t>2025, 2024, 2023, 2022, 2021, 2020, 2019, 2018</t>
        </is>
      </c>
      <c r="N8" s="6" t="inlineStr">
        <is>
          <t>-</t>
        </is>
      </c>
      <c r="O8" s="6" t="inlineStr">
        <is>
          <t>Tiền mặt hàng năm (2025, 2024, 2023, 2022, 2021, 2020, 2019, 2018)</t>
        </is>
      </c>
    </row>
    <row r="9" ht="22" customHeight="1">
      <c r="A9" s="13" t="n">
        <v>6</v>
      </c>
      <c r="B9" s="5" t="inlineStr">
        <is>
          <t>MIG</t>
        </is>
      </c>
      <c r="C9" s="13" t="inlineStr">
        <is>
          <t>HOSE</t>
        </is>
      </c>
      <c r="D9" s="14" t="inlineStr">
        <is>
          <t>Tổng Công ty cổ phần Bảo hiểm Quân Đội</t>
        </is>
      </c>
      <c r="E9" s="14" t="inlineStr">
        <is>
          <t>Bảo hiểm</t>
        </is>
      </c>
      <c r="F9" s="14" t="inlineStr">
        <is>
          <t>Tài chính</t>
        </is>
      </c>
      <c r="G9" s="7" t="inlineStr">
        <is>
          <t>⭐ Đầu ngành</t>
        </is>
      </c>
      <c r="H9" s="15" t="n">
        <v>100380</v>
      </c>
      <c r="I9" s="16" t="n">
        <v>15700</v>
      </c>
      <c r="J9" s="17" t="inlineStr">
        <is>
          <t>Cả tiền mặt &amp; cổ phiếu</t>
        </is>
      </c>
      <c r="K9" s="11" t="inlineStr">
        <is>
          <t>Hàng năm</t>
        </is>
      </c>
      <c r="L9" s="12" t="inlineStr">
        <is>
          <t>Có</t>
        </is>
      </c>
      <c r="M9" s="14" t="inlineStr">
        <is>
          <t>2026, 2025, 2024, 2023, 2020, 2019</t>
        </is>
      </c>
      <c r="N9" s="14" t="inlineStr">
        <is>
          <t>2025, 2023, 2022, 2021, 2018</t>
        </is>
      </c>
      <c r="O9" s="14" t="inlineStr">
        <is>
          <t>Tiền mặt hàng năm (2026, 2025, 2024, 2023, 2020, 2019); Cổ tức CP (2025, 2023, 2022, 2021, 2018)</t>
        </is>
      </c>
    </row>
    <row r="10" ht="22" customHeight="1">
      <c r="A10" s="4" t="n">
        <v>7</v>
      </c>
      <c r="B10" s="5" t="inlineStr">
        <is>
          <t>BMI</t>
        </is>
      </c>
      <c r="C10" s="4" t="inlineStr">
        <is>
          <t>HOSE</t>
        </is>
      </c>
      <c r="D10" s="6" t="inlineStr">
        <is>
          <t>Tổng Công ty cổ phần Bảo Minh</t>
        </is>
      </c>
      <c r="E10" s="6" t="inlineStr">
        <is>
          <t>Bảo hiểm</t>
        </is>
      </c>
      <c r="F10" s="6" t="inlineStr">
        <is>
          <t>Tài chính</t>
        </is>
      </c>
      <c r="G10" s="7" t="inlineStr">
        <is>
          <t>⭐ Đầu ngành</t>
        </is>
      </c>
      <c r="H10" s="8" t="n">
        <v>76705</v>
      </c>
      <c r="I10" s="9" t="n">
        <v>13950</v>
      </c>
      <c r="J10" s="10" t="inlineStr">
        <is>
          <t>Cả tiền mặt &amp; cổ phiếu</t>
        </is>
      </c>
      <c r="K10" s="11" t="inlineStr">
        <is>
          <t>Hàng năm</t>
        </is>
      </c>
      <c r="L10" s="12" t="inlineStr">
        <is>
          <t>Có</t>
        </is>
      </c>
      <c r="M10" s="6" t="inlineStr">
        <is>
          <t>2026, 2025, 2024, 2023, 2022, 2021, 2020, 2019</t>
        </is>
      </c>
      <c r="N10" s="6" t="inlineStr">
        <is>
          <t>2025, 2024, 2023, 2021, 2016, 2015</t>
        </is>
      </c>
      <c r="O10" s="6" t="inlineStr">
        <is>
          <t>Tiền mặt hàng năm (2026, 2025, 2024, 2023, 2022, 2021, 2020, 2019); Cổ tức CP (2025, 2024, 2023, 2021, 2016, 2015)</t>
        </is>
      </c>
    </row>
    <row r="11" ht="22" customHeight="1">
      <c r="A11" s="13" t="n">
        <v>8</v>
      </c>
      <c r="B11" s="20" t="inlineStr">
        <is>
          <t>NVL</t>
        </is>
      </c>
      <c r="C11" s="13" t="inlineStr">
        <is>
          <t>HOSE</t>
        </is>
      </c>
      <c r="D11" s="14" t="inlineStr">
        <is>
          <t xml:space="preserve">CTCP Tập đoàn Đầu tư Địa ốc No Va </t>
        </is>
      </c>
      <c r="E11" s="14" t="inlineStr">
        <is>
          <t>Bất động sản</t>
        </is>
      </c>
      <c r="F11" s="14" t="inlineStr">
        <is>
          <t>Tài chính</t>
        </is>
      </c>
      <c r="G11" s="7" t="inlineStr">
        <is>
          <t>⭐ Đầu ngành</t>
        </is>
      </c>
      <c r="H11" s="15" t="n">
        <v>12266670</v>
      </c>
      <c r="I11" s="16" t="n">
        <v>12800</v>
      </c>
      <c r="J11" s="21" t="inlineStr">
        <is>
          <t>Cổ tức cổ phiếu</t>
        </is>
      </c>
      <c r="K11" s="13" t="inlineStr">
        <is>
          <t>Có</t>
        </is>
      </c>
      <c r="L11" s="12" t="inlineStr">
        <is>
          <t>Có</t>
        </is>
      </c>
      <c r="M11" s="14" t="inlineStr">
        <is>
          <t>2019</t>
        </is>
      </c>
      <c r="N11" s="14" t="inlineStr">
        <is>
          <t>2026, 2025, 2021, 2018</t>
        </is>
      </c>
      <c r="O11" s="14" t="inlineStr">
        <is>
          <t>Tiền mặt (2019); Cổ tức CP (2026, 2025, 2021, 2018)</t>
        </is>
      </c>
    </row>
    <row r="12" ht="22" customHeight="1">
      <c r="A12" s="4" t="n">
        <v>9</v>
      </c>
      <c r="B12" s="20" t="inlineStr">
        <is>
          <t>DXG</t>
        </is>
      </c>
      <c r="C12" s="4" t="inlineStr">
        <is>
          <t>HOSE</t>
        </is>
      </c>
      <c r="D12" s="6" t="inlineStr">
        <is>
          <t>CTCP Bluemarq Group</t>
        </is>
      </c>
      <c r="E12" s="6" t="inlineStr">
        <is>
          <t>Bất động sản</t>
        </is>
      </c>
      <c r="F12" s="6" t="inlineStr">
        <is>
          <t>Tài chính</t>
        </is>
      </c>
      <c r="G12" s="7" t="inlineStr">
        <is>
          <t>⭐ Đầu ngành</t>
        </is>
      </c>
      <c r="H12" s="8" t="n">
        <v>11045365</v>
      </c>
      <c r="I12" s="9" t="n">
        <v>10600</v>
      </c>
      <c r="J12" s="24" t="inlineStr">
        <is>
          <t>Cổ tức cổ phiếu</t>
        </is>
      </c>
      <c r="K12" s="4" t="inlineStr">
        <is>
          <t>Có</t>
        </is>
      </c>
      <c r="L12" s="12" t="inlineStr">
        <is>
          <t>Có</t>
        </is>
      </c>
      <c r="M12" s="6" t="inlineStr">
        <is>
          <t>2017, 2010</t>
        </is>
      </c>
      <c r="N12" s="6" t="inlineStr">
        <is>
          <t>2026, 2025, 2022, 2021, 2019, 2018, 2017, 2016</t>
        </is>
      </c>
      <c r="O12" s="6" t="inlineStr">
        <is>
          <t>Tiền mặt (2017, 2010); Cổ tức CP (2026, 2025, 2022, 2021, 2019, 2018, 2017, 2016)</t>
        </is>
      </c>
    </row>
    <row r="13" ht="22" customHeight="1">
      <c r="A13" s="13" t="n">
        <v>10</v>
      </c>
      <c r="B13" s="5" t="inlineStr">
        <is>
          <t>VHM</t>
        </is>
      </c>
      <c r="C13" s="13" t="inlineStr">
        <is>
          <t>HOSE</t>
        </is>
      </c>
      <c r="D13" s="14" t="inlineStr">
        <is>
          <t>CTCP Vinhomes</t>
        </is>
      </c>
      <c r="E13" s="14" t="inlineStr">
        <is>
          <t>Bất động sản</t>
        </is>
      </c>
      <c r="F13" s="14" t="inlineStr">
        <is>
          <t>Tài chính</t>
        </is>
      </c>
      <c r="G13" s="7" t="inlineStr">
        <is>
          <t>⭐ Đầu ngành</t>
        </is>
      </c>
      <c r="H13" s="15" t="n">
        <v>8446140</v>
      </c>
      <c r="I13" s="16" t="n">
        <v>71000</v>
      </c>
      <c r="J13" s="17" t="inlineStr">
        <is>
          <t>Cả tiền mặt &amp; cổ phiếu</t>
        </is>
      </c>
      <c r="K13" s="11" t="inlineStr">
        <is>
          <t>Hàng năm</t>
        </is>
      </c>
      <c r="L13" s="12" t="inlineStr">
        <is>
          <t>Có</t>
        </is>
      </c>
      <c r="M13" s="14" t="inlineStr">
        <is>
          <t>2026, 2022, 2021, 2019</t>
        </is>
      </c>
      <c r="N13" s="14" t="inlineStr">
        <is>
          <t>2026, 2021, 2018</t>
        </is>
      </c>
      <c r="O13" s="14" t="inlineStr">
        <is>
          <t>Tiền mặt hàng năm (2026, 2022, 2021, 2019); Cổ tức CP (2026, 2021, 2018)</t>
        </is>
      </c>
    </row>
    <row r="14" ht="22" customHeight="1">
      <c r="A14" s="4" t="n">
        <v>11</v>
      </c>
      <c r="B14" s="5" t="inlineStr">
        <is>
          <t>CEO</t>
        </is>
      </c>
      <c r="C14" s="4" t="inlineStr">
        <is>
          <t>HNX</t>
        </is>
      </c>
      <c r="D14" s="6" t="inlineStr">
        <is>
          <t>CTCP Tập đoàn C.E.O</t>
        </is>
      </c>
      <c r="E14" s="6" t="inlineStr">
        <is>
          <t>Bất động sản</t>
        </is>
      </c>
      <c r="F14" s="6" t="inlineStr">
        <is>
          <t>Tài chính</t>
        </is>
      </c>
      <c r="G14" s="7" t="inlineStr">
        <is>
          <t>⭐ Đầu ngành</t>
        </is>
      </c>
      <c r="H14" s="8" t="n">
        <v>6407730</v>
      </c>
      <c r="I14" s="9" t="n">
        <v>11500</v>
      </c>
      <c r="J14" s="10" t="inlineStr">
        <is>
          <t>Cả tiền mặt &amp; cổ phiếu</t>
        </is>
      </c>
      <c r="K14" s="11" t="inlineStr">
        <is>
          <t>Hàng năm</t>
        </is>
      </c>
      <c r="L14" s="12" t="inlineStr">
        <is>
          <t>Có</t>
        </is>
      </c>
      <c r="M14" s="6" t="inlineStr">
        <is>
          <t>2019, 2018, 2017, 2016, 2015, 2014</t>
        </is>
      </c>
      <c r="N14" s="6" t="inlineStr">
        <is>
          <t>2026, 2025, 2024</t>
        </is>
      </c>
      <c r="O14" s="6" t="inlineStr">
        <is>
          <t>Tiền mặt hàng năm (2019, 2018, 2017, 2016, 2015, 2014); Cổ tức CP (2026, 2025, 2024)</t>
        </is>
      </c>
    </row>
    <row r="15" ht="22" customHeight="1">
      <c r="A15" s="13" t="n">
        <v>12</v>
      </c>
      <c r="B15" s="20" t="inlineStr">
        <is>
          <t>VIC</t>
        </is>
      </c>
      <c r="C15" s="13" t="inlineStr">
        <is>
          <t>HOSE</t>
        </is>
      </c>
      <c r="D15" s="14" t="inlineStr">
        <is>
          <t>Tập đoàn VINGROUP - CTCP</t>
        </is>
      </c>
      <c r="E15" s="14" t="inlineStr">
        <is>
          <t>Bất động sản</t>
        </is>
      </c>
      <c r="F15" s="14" t="inlineStr">
        <is>
          <t>Tài chính</t>
        </is>
      </c>
      <c r="G15" s="7" t="inlineStr">
        <is>
          <t>⭐ Đầu ngành</t>
        </is>
      </c>
      <c r="H15" s="15" t="n">
        <v>6269035</v>
      </c>
      <c r="I15" s="16" t="n">
        <v>241200</v>
      </c>
      <c r="J15" s="21" t="inlineStr">
        <is>
          <t>Cổ tức cổ phiếu</t>
        </is>
      </c>
      <c r="K15" s="13" t="inlineStr">
        <is>
          <t>Có</t>
        </is>
      </c>
      <c r="L15" s="12" t="inlineStr">
        <is>
          <t>Có</t>
        </is>
      </c>
      <c r="M15" s="14" t="inlineStr">
        <is>
          <t>2014, 2011</t>
        </is>
      </c>
      <c r="N15" s="14" t="inlineStr">
        <is>
          <t>2025, 2021, 2018, 2016, 2015, 2014, 2013, 2012</t>
        </is>
      </c>
      <c r="O15" s="14" t="inlineStr">
        <is>
          <t>Tiền mặt (2014, 2011); Cổ tức CP (2025, 2021, 2018, 2016, 2015, 2014, 2013, 2012)</t>
        </is>
      </c>
    </row>
    <row r="16" ht="22" customHeight="1">
      <c r="A16" s="4" t="n">
        <v>13</v>
      </c>
      <c r="B16" s="20" t="inlineStr">
        <is>
          <t>VRE</t>
        </is>
      </c>
      <c r="C16" s="4" t="inlineStr">
        <is>
          <t>HOSE</t>
        </is>
      </c>
      <c r="D16" s="6" t="inlineStr">
        <is>
          <t>CTCP Vincom Retail</t>
        </is>
      </c>
      <c r="E16" s="6" t="inlineStr">
        <is>
          <t>Bất động sản</t>
        </is>
      </c>
      <c r="F16" s="6" t="inlineStr">
        <is>
          <t>Tài chính</t>
        </is>
      </c>
      <c r="G16" s="7" t="inlineStr">
        <is>
          <t>⭐ Đầu ngành</t>
        </is>
      </c>
      <c r="H16" s="8" t="n">
        <v>5464730</v>
      </c>
      <c r="I16" s="9" t="n">
        <v>25500</v>
      </c>
      <c r="J16" s="24" t="inlineStr">
        <is>
          <t>Cổ tức cổ phiếu</t>
        </is>
      </c>
      <c r="K16" s="4" t="inlineStr">
        <is>
          <t>Có</t>
        </is>
      </c>
      <c r="L16" s="12" t="inlineStr">
        <is>
          <t>Có</t>
        </is>
      </c>
      <c r="M16" s="6" t="inlineStr">
        <is>
          <t>2026, 2019</t>
        </is>
      </c>
      <c r="N16" s="6" t="inlineStr">
        <is>
          <t>2018</t>
        </is>
      </c>
      <c r="O16" s="6" t="inlineStr">
        <is>
          <t>Tiền mặt (2026, 2019); Cổ tức CP (2018)</t>
        </is>
      </c>
    </row>
    <row r="17" ht="22" customHeight="1">
      <c r="A17" s="13" t="n">
        <v>14</v>
      </c>
      <c r="B17" s="5" t="inlineStr">
        <is>
          <t>DIG</t>
        </is>
      </c>
      <c r="C17" s="13" t="inlineStr">
        <is>
          <t>HOSE</t>
        </is>
      </c>
      <c r="D17" s="14" t="inlineStr">
        <is>
          <t>Tổng Công ty cổ phần Đầu tư Phát triển Xây dựng</t>
        </is>
      </c>
      <c r="E17" s="14" t="inlineStr">
        <is>
          <t>Bất động sản</t>
        </is>
      </c>
      <c r="F17" s="14" t="inlineStr">
        <is>
          <t>Tài chính</t>
        </is>
      </c>
      <c r="G17" s="7" t="inlineStr">
        <is>
          <t>⭐ Đầu ngành</t>
        </is>
      </c>
      <c r="H17" s="15" t="n">
        <v>5330585</v>
      </c>
      <c r="I17" s="16" t="n">
        <v>10200</v>
      </c>
      <c r="J17" s="17" t="inlineStr">
        <is>
          <t>Cả tiền mặt &amp; cổ phiếu</t>
        </is>
      </c>
      <c r="K17" s="11" t="inlineStr">
        <is>
          <t>Hàng năm</t>
        </is>
      </c>
      <c r="L17" s="12" t="inlineStr">
        <is>
          <t>Có</t>
        </is>
      </c>
      <c r="M17" s="14" t="inlineStr">
        <is>
          <t>2019, 2017, 2012, 2010, 2009</t>
        </is>
      </c>
      <c r="N17" s="14" t="inlineStr">
        <is>
          <t>2026, 2025, 2022, 2021, 2019, 2018, 2016, 2015</t>
        </is>
      </c>
      <c r="O17" s="14" t="inlineStr">
        <is>
          <t>Tiền mặt hàng năm (2019, 2017, 2012, 2010, 2009); Cổ tức CP (2026, 2025, 2022, 2021, 2019, 2018, 2016, 2015)</t>
        </is>
      </c>
    </row>
    <row r="18" ht="22" customHeight="1">
      <c r="A18" s="4" t="n">
        <v>15</v>
      </c>
      <c r="B18" s="5" t="inlineStr">
        <is>
          <t>KDH</t>
        </is>
      </c>
      <c r="C18" s="4" t="inlineStr">
        <is>
          <t>HOSE</t>
        </is>
      </c>
      <c r="D18" s="6" t="inlineStr">
        <is>
          <t>CTCP Đầu tư và Kinh doanh Nhà Khang Điền</t>
        </is>
      </c>
      <c r="E18" s="6" t="inlineStr">
        <is>
          <t>Bất động sản</t>
        </is>
      </c>
      <c r="F18" s="6" t="inlineStr">
        <is>
          <t>Tài chính</t>
        </is>
      </c>
      <c r="G18" s="7" t="inlineStr">
        <is>
          <t>⭐ Đầu ngành</t>
        </is>
      </c>
      <c r="H18" s="8" t="n">
        <v>5219440</v>
      </c>
      <c r="I18" s="9" t="n">
        <v>15800</v>
      </c>
      <c r="J18" s="10" t="inlineStr">
        <is>
          <t>Cả tiền mặt &amp; cổ phiếu</t>
        </is>
      </c>
      <c r="K18" s="11" t="inlineStr">
        <is>
          <t>Hàng năm</t>
        </is>
      </c>
      <c r="L18" s="12" t="inlineStr">
        <is>
          <t>Có</t>
        </is>
      </c>
      <c r="M18" s="6" t="inlineStr">
        <is>
          <t>2020, 2019, 2018, 2017, 2016, 2015</t>
        </is>
      </c>
      <c r="N18" s="6" t="inlineStr">
        <is>
          <t>2025, 2024, 2023, 2022, 2021, 2020, 2019, 2018</t>
        </is>
      </c>
      <c r="O18" s="6" t="inlineStr">
        <is>
          <t>Tiền mặt hàng năm (2020, 2019, 2018, 2017, 2016, 2015); Cổ tức CP (2025, 2024, 2023, 2022, 2021, 2020, 2019, 2018)</t>
        </is>
      </c>
    </row>
    <row r="19" ht="22" customHeight="1">
      <c r="A19" s="13" t="n">
        <v>16</v>
      </c>
      <c r="B19" s="20" t="inlineStr">
        <is>
          <t>PDR</t>
        </is>
      </c>
      <c r="C19" s="13" t="inlineStr">
        <is>
          <t>HOSE</t>
        </is>
      </c>
      <c r="D19" s="14" t="inlineStr">
        <is>
          <t>CTCP Phát triển Bất động sản Phát Đạt</t>
        </is>
      </c>
      <c r="E19" s="14" t="inlineStr">
        <is>
          <t>Bất động sản</t>
        </is>
      </c>
      <c r="F19" s="14" t="inlineStr">
        <is>
          <t>Tài chính</t>
        </is>
      </c>
      <c r="G19" s="7" t="inlineStr">
        <is>
          <t>⭐ Đầu ngành</t>
        </is>
      </c>
      <c r="H19" s="15" t="n">
        <v>4531505</v>
      </c>
      <c r="I19" s="16" t="n">
        <v>11500</v>
      </c>
      <c r="J19" s="21" t="inlineStr">
        <is>
          <t>Cổ tức cổ phiếu</t>
        </is>
      </c>
      <c r="K19" s="13" t="inlineStr">
        <is>
          <t>Có</t>
        </is>
      </c>
      <c r="L19" s="12" t="inlineStr">
        <is>
          <t>Có</t>
        </is>
      </c>
      <c r="M19" s="14" t="inlineStr">
        <is>
          <t>2019</t>
        </is>
      </c>
      <c r="N19" s="14" t="inlineStr">
        <is>
          <t>2025, 2022, 2021, 2020, 2019, 2018, 2017, 2015</t>
        </is>
      </c>
      <c r="O19" s="14" t="inlineStr">
        <is>
          <t>Tiền mặt (2019); Cổ tức CP (2025, 2022, 2021, 2020, 2019, 2018, 2017, 2015)</t>
        </is>
      </c>
    </row>
    <row r="20" ht="22" customHeight="1">
      <c r="A20" s="4" t="n">
        <v>17</v>
      </c>
      <c r="B20" s="5" t="inlineStr">
        <is>
          <t>NLG</t>
        </is>
      </c>
      <c r="C20" s="4" t="inlineStr">
        <is>
          <t>HOSE</t>
        </is>
      </c>
      <c r="D20" s="6" t="inlineStr">
        <is>
          <t>CTCP Đầu tư Nam Long</t>
        </is>
      </c>
      <c r="E20" s="6" t="inlineStr">
        <is>
          <t>Bất động sản</t>
        </is>
      </c>
      <c r="F20" s="6" t="inlineStr">
        <is>
          <t>Tài chính</t>
        </is>
      </c>
      <c r="G20" s="7" t="inlineStr">
        <is>
          <t>⭐ Đầu ngành</t>
        </is>
      </c>
      <c r="H20" s="8" t="n">
        <v>2108305</v>
      </c>
      <c r="I20" s="9" t="n">
        <v>24100</v>
      </c>
      <c r="J20" s="10" t="inlineStr">
        <is>
          <t>Cả tiền mặt &amp; cổ phiếu</t>
        </is>
      </c>
      <c r="K20" s="11" t="inlineStr">
        <is>
          <t>Hàng năm</t>
        </is>
      </c>
      <c r="L20" s="12" t="inlineStr">
        <is>
          <t>Có</t>
        </is>
      </c>
      <c r="M20" s="6" t="inlineStr">
        <is>
          <t>2026, 2025, 2024, 2023, 2022, 2021, 2020, 2019</t>
        </is>
      </c>
      <c r="N20" s="6" t="inlineStr">
        <is>
          <t>2021, 2020, 2019, 2018, 2017</t>
        </is>
      </c>
      <c r="O20" s="6" t="inlineStr">
        <is>
          <t>Tiền mặt hàng năm (2026, 2025, 2024, 2023, 2022, 2021, 2020, 2019); Cổ tức CP (2021, 2020, 2019, 2018, 2017)</t>
        </is>
      </c>
    </row>
    <row r="21" ht="22" customHeight="1">
      <c r="A21" s="13" t="n">
        <v>18</v>
      </c>
      <c r="B21" s="20" t="inlineStr">
        <is>
          <t>KBC</t>
        </is>
      </c>
      <c r="C21" s="13" t="inlineStr">
        <is>
          <t>HOSE</t>
        </is>
      </c>
      <c r="D21" s="14" t="inlineStr">
        <is>
          <t>Tổng Công ty Phát triển Đô thị Kinh Bắc - CTCP</t>
        </is>
      </c>
      <c r="E21" s="14" t="inlineStr">
        <is>
          <t>Bất động sản</t>
        </is>
      </c>
      <c r="F21" s="14" t="inlineStr">
        <is>
          <t>Tài chính</t>
        </is>
      </c>
      <c r="G21" s="7" t="inlineStr">
        <is>
          <t>⭐ Đầu ngành</t>
        </is>
      </c>
      <c r="H21" s="15" t="n">
        <v>1323585</v>
      </c>
      <c r="I21" s="16" t="n">
        <v>26000</v>
      </c>
      <c r="J21" s="21" t="inlineStr">
        <is>
          <t>Cổ tức cổ phiếu</t>
        </is>
      </c>
      <c r="K21" s="13" t="inlineStr">
        <is>
          <t>Có</t>
        </is>
      </c>
      <c r="L21" s="12" t="inlineStr">
        <is>
          <t>Có</t>
        </is>
      </c>
      <c r="M21" s="14" t="inlineStr">
        <is>
          <t>2019</t>
        </is>
      </c>
      <c r="N21" s="14" t="inlineStr">
        <is>
          <t>2022</t>
        </is>
      </c>
      <c r="O21" s="14" t="inlineStr">
        <is>
          <t>Tiền mặt (2019); Cổ tức CP (2022)</t>
        </is>
      </c>
    </row>
    <row r="22" ht="22" customHeight="1">
      <c r="A22" s="4" t="n">
        <v>19</v>
      </c>
      <c r="B22" s="5" t="inlineStr">
        <is>
          <t>FPT</t>
        </is>
      </c>
      <c r="C22" s="4" t="inlineStr">
        <is>
          <t>HOSE</t>
        </is>
      </c>
      <c r="D22" s="6" t="inlineStr">
        <is>
          <t>CTCP FPT</t>
        </is>
      </c>
      <c r="E22" s="6" t="inlineStr">
        <is>
          <t>Công nghệ Thông tin</t>
        </is>
      </c>
      <c r="F22" s="6" t="inlineStr">
        <is>
          <t>Công nghệ Thông tin</t>
        </is>
      </c>
      <c r="G22" s="7" t="inlineStr">
        <is>
          <t>⭐ Đầu ngành</t>
        </is>
      </c>
      <c r="H22" s="8" t="n">
        <v>6272705</v>
      </c>
      <c r="I22" s="9" t="n">
        <v>65180.00000000001</v>
      </c>
      <c r="J22" s="10" t="inlineStr">
        <is>
          <t>Cả tiền mặt &amp; cổ phiếu</t>
        </is>
      </c>
      <c r="K22" s="11" t="inlineStr">
        <is>
          <t>Hàng năm</t>
        </is>
      </c>
      <c r="L22" s="12" t="inlineStr">
        <is>
          <t>Có</t>
        </is>
      </c>
      <c r="M22" s="6" t="inlineStr">
        <is>
          <t>2026, 2025, 2024, 2023, 2022, 2021, 2020, 2019</t>
        </is>
      </c>
      <c r="N22" s="6" t="inlineStr">
        <is>
          <t>2026, 2025, 2024, 2023, 2022, 2021, 2020, 2019</t>
        </is>
      </c>
      <c r="O22" s="6" t="inlineStr">
        <is>
          <t>Tiền mặt hàng năm (2026, 2025, 2024, 2023, 2022, 2021, 2020, 2019); Cổ tức CP (2026, 2025, 2024, 2023, 2022, 2021, 2020, 2019)</t>
        </is>
      </c>
    </row>
    <row r="23" ht="22" customHeight="1">
      <c r="A23" s="13" t="n">
        <v>20</v>
      </c>
      <c r="B23" s="5" t="inlineStr">
        <is>
          <t>ELC</t>
        </is>
      </c>
      <c r="C23" s="13" t="inlineStr">
        <is>
          <t>HOSE</t>
        </is>
      </c>
      <c r="D23" s="14" t="inlineStr">
        <is>
          <t>CTCP Công Nghệ - Viễn Thông Elcom</t>
        </is>
      </c>
      <c r="E23" s="14" t="inlineStr">
        <is>
          <t>Công nghệ Thông tin</t>
        </is>
      </c>
      <c r="F23" s="14" t="inlineStr">
        <is>
          <t>Công nghệ Thông tin</t>
        </is>
      </c>
      <c r="G23" s="7" t="inlineStr">
        <is>
          <t>⭐ Đầu ngành</t>
        </is>
      </c>
      <c r="H23" s="15" t="n">
        <v>263840</v>
      </c>
      <c r="I23" s="16" t="n">
        <v>13450</v>
      </c>
      <c r="J23" s="17" t="inlineStr">
        <is>
          <t>Cả tiền mặt &amp; cổ phiếu</t>
        </is>
      </c>
      <c r="K23" s="11" t="inlineStr">
        <is>
          <t>Hàng năm</t>
        </is>
      </c>
      <c r="L23" s="12" t="inlineStr">
        <is>
          <t>Có</t>
        </is>
      </c>
      <c r="M23" s="14" t="inlineStr">
        <is>
          <t>2021, 2017, 2016, 2015, 2014, 2013, 2012, 2010</t>
        </is>
      </c>
      <c r="N23" s="14" t="inlineStr">
        <is>
          <t>2026, 2025, 2023, 2022, 2017, 2016, 2015, 2012</t>
        </is>
      </c>
      <c r="O23" s="14" t="inlineStr">
        <is>
          <t>Tiền mặt hàng năm (2021, 2017, 2016, 2015, 2014, 2013, 2012, 2010); Cổ tức CP (2026, 2025, 2023, 2022, 2017, 2016, 2015, 2012)</t>
        </is>
      </c>
    </row>
    <row r="24" ht="22" customHeight="1">
      <c r="A24" s="4" t="n">
        <v>21</v>
      </c>
      <c r="B24" s="5" t="inlineStr">
        <is>
          <t>CMG</t>
        </is>
      </c>
      <c r="C24" s="4" t="inlineStr">
        <is>
          <t>HOSE</t>
        </is>
      </c>
      <c r="D24" s="6" t="inlineStr">
        <is>
          <t>CTCP Tập đoàn Công nghệ CMC</t>
        </is>
      </c>
      <c r="E24" s="6" t="inlineStr">
        <is>
          <t>Công nghệ Thông tin</t>
        </is>
      </c>
      <c r="F24" s="6" t="inlineStr">
        <is>
          <t>Công nghệ Thông tin</t>
        </is>
      </c>
      <c r="G24" s="7" t="inlineStr">
        <is>
          <t>⭐ Đầu ngành</t>
        </is>
      </c>
      <c r="H24" s="8" t="n">
        <v>123855</v>
      </c>
      <c r="I24" s="9" t="n">
        <v>23100</v>
      </c>
      <c r="J24" s="10" t="inlineStr">
        <is>
          <t>Cả tiền mặt &amp; cổ phiếu</t>
        </is>
      </c>
      <c r="K24" s="11" t="inlineStr">
        <is>
          <t>Hàng năm</t>
        </is>
      </c>
      <c r="L24" s="12" t="inlineStr">
        <is>
          <t>Có</t>
        </is>
      </c>
      <c r="M24" s="6" t="inlineStr">
        <is>
          <t>2023, 2020, 2019, 2018, 2017, 2016, 2010</t>
        </is>
      </c>
      <c r="N24" s="6" t="inlineStr">
        <is>
          <t>2026, 2024, 2023, 2022, 2019, 2018</t>
        </is>
      </c>
      <c r="O24" s="6" t="inlineStr">
        <is>
          <t>Tiền mặt hàng năm (2023, 2020, 2019, 2018, 2017, 2016, 2010); Cổ tức CP (2026, 2024, 2023, 2022, 2019, 2018)</t>
        </is>
      </c>
    </row>
    <row r="25" ht="22" customHeight="1">
      <c r="A25" s="13" t="n">
        <v>22</v>
      </c>
      <c r="B25" s="5" t="inlineStr">
        <is>
          <t>VJC</t>
        </is>
      </c>
      <c r="C25" s="13" t="inlineStr">
        <is>
          <t>HOSE</t>
        </is>
      </c>
      <c r="D25" s="14" t="inlineStr">
        <is>
          <t>CTCP Hàng không Vietjet</t>
        </is>
      </c>
      <c r="E25" s="14" t="inlineStr">
        <is>
          <t>Du lịch và Giải trí</t>
        </is>
      </c>
      <c r="F25" s="14" t="inlineStr">
        <is>
          <t>Dịch vụ Tiêu dùng</t>
        </is>
      </c>
      <c r="G25" s="7" t="inlineStr">
        <is>
          <t>⭐ Đầu ngành</t>
        </is>
      </c>
      <c r="H25" s="15" t="n">
        <v>1222740</v>
      </c>
      <c r="I25" s="16" t="n">
        <v>129000</v>
      </c>
      <c r="J25" s="17" t="inlineStr">
        <is>
          <t>Cả tiền mặt &amp; cổ phiếu</t>
        </is>
      </c>
      <c r="K25" s="11" t="inlineStr">
        <is>
          <t>Hàng năm</t>
        </is>
      </c>
      <c r="L25" s="12" t="inlineStr">
        <is>
          <t>Có</t>
        </is>
      </c>
      <c r="M25" s="14" t="inlineStr">
        <is>
          <t>2019, 2018, 2017</t>
        </is>
      </c>
      <c r="N25" s="14" t="inlineStr">
        <is>
          <t>2026, 2018, 2017</t>
        </is>
      </c>
      <c r="O25" s="14" t="inlineStr">
        <is>
          <t>Tiền mặt hàng năm (2019, 2018, 2017); Cổ tức CP (2026, 2018, 2017)</t>
        </is>
      </c>
    </row>
    <row r="26" ht="22" customHeight="1">
      <c r="A26" s="4" t="n">
        <v>23</v>
      </c>
      <c r="B26" s="18" t="inlineStr">
        <is>
          <t>VPL</t>
        </is>
      </c>
      <c r="C26" s="4" t="inlineStr">
        <is>
          <t>HOSE</t>
        </is>
      </c>
      <c r="D26" s="6" t="inlineStr">
        <is>
          <t>CTCP Vinpearl</t>
        </is>
      </c>
      <c r="E26" s="6" t="inlineStr">
        <is>
          <t>Du lịch và Giải trí</t>
        </is>
      </c>
      <c r="F26" s="6" t="inlineStr">
        <is>
          <t>Dịch vụ Tiêu dùng</t>
        </is>
      </c>
      <c r="G26" s="7" t="inlineStr">
        <is>
          <t>⭐ Đầu ngành</t>
        </is>
      </c>
      <c r="H26" s="8" t="n">
        <v>1046550</v>
      </c>
      <c r="I26" s="9" t="n">
        <v>81200</v>
      </c>
      <c r="J26" s="19" t="inlineStr">
        <is>
          <t>Chưa chia / Khác</t>
        </is>
      </c>
      <c r="K26" s="4" t="inlineStr">
        <is>
          <t>Không</t>
        </is>
      </c>
      <c r="L26" s="4" t="inlineStr">
        <is>
          <t>Không</t>
        </is>
      </c>
      <c r="M26" s="6" t="inlineStr">
        <is>
          <t>-</t>
        </is>
      </c>
      <c r="N26" s="6" t="inlineStr">
        <is>
          <t>-</t>
        </is>
      </c>
      <c r="O26" s="6" t="inlineStr">
        <is>
          <t>Chưa có lịch sử chia cổ tức</t>
        </is>
      </c>
    </row>
    <row r="27" ht="22" customHeight="1">
      <c r="A27" s="13" t="n">
        <v>24</v>
      </c>
      <c r="B27" s="22" t="inlineStr">
        <is>
          <t>HVN</t>
        </is>
      </c>
      <c r="C27" s="13" t="inlineStr">
        <is>
          <t>HOSE</t>
        </is>
      </c>
      <c r="D27" s="14" t="inlineStr">
        <is>
          <t>Tổng Công ty Hàng không Việt Nam - CTCP</t>
        </is>
      </c>
      <c r="E27" s="14" t="inlineStr">
        <is>
          <t>Du lịch và Giải trí</t>
        </is>
      </c>
      <c r="F27" s="14" t="inlineStr">
        <is>
          <t>Dịch vụ Tiêu dùng</t>
        </is>
      </c>
      <c r="G27" s="7" t="inlineStr">
        <is>
          <t>⭐ Đầu ngành</t>
        </is>
      </c>
      <c r="H27" s="15" t="n">
        <v>750125</v>
      </c>
      <c r="I27" s="16" t="n">
        <v>20900</v>
      </c>
      <c r="J27" s="23" t="inlineStr">
        <is>
          <t>Tiền mặt hàng năm</t>
        </is>
      </c>
      <c r="K27" s="11" t="inlineStr">
        <is>
          <t>Hàng năm</t>
        </is>
      </c>
      <c r="L27" s="13" t="inlineStr">
        <is>
          <t>Không</t>
        </is>
      </c>
      <c r="M27" s="14" t="inlineStr">
        <is>
          <t>2019, 2018, 2017</t>
        </is>
      </c>
      <c r="N27" s="14" t="inlineStr">
        <is>
          <t>-</t>
        </is>
      </c>
      <c r="O27" s="14" t="inlineStr">
        <is>
          <t>Tiền mặt hàng năm (2019, 2018, 2017)</t>
        </is>
      </c>
    </row>
    <row r="28" ht="22" customHeight="1">
      <c r="A28" s="4" t="n">
        <v>25</v>
      </c>
      <c r="B28" s="5" t="inlineStr">
        <is>
          <t>SCS</t>
        </is>
      </c>
      <c r="C28" s="4" t="inlineStr">
        <is>
          <t>HOSE</t>
        </is>
      </c>
      <c r="D28" s="6" t="inlineStr">
        <is>
          <t>CTCP Dịch vụ Hàng hóa Sài Gòn</t>
        </is>
      </c>
      <c r="E28" s="6" t="inlineStr">
        <is>
          <t>Du lịch và Giải trí</t>
        </is>
      </c>
      <c r="F28" s="6" t="inlineStr">
        <is>
          <t>Dịch vụ Tiêu dùng</t>
        </is>
      </c>
      <c r="G28" s="7" t="inlineStr">
        <is>
          <t>⭐ Đầu ngành</t>
        </is>
      </c>
      <c r="H28" s="8" t="n">
        <v>93930</v>
      </c>
      <c r="I28" s="9" t="n">
        <v>44800</v>
      </c>
      <c r="J28" s="10" t="inlineStr">
        <is>
          <t>Cả tiền mặt &amp; cổ phiếu</t>
        </is>
      </c>
      <c r="K28" s="11" t="inlineStr">
        <is>
          <t>Hàng năm</t>
        </is>
      </c>
      <c r="L28" s="12" t="inlineStr">
        <is>
          <t>Có</t>
        </is>
      </c>
      <c r="M28" s="6" t="inlineStr">
        <is>
          <t>2026, 2025, 2024, 2023, 2022, 2021, 2020, 2019</t>
        </is>
      </c>
      <c r="N28" s="6" t="inlineStr">
        <is>
          <t>2022</t>
        </is>
      </c>
      <c r="O28" s="6" t="inlineStr">
        <is>
          <t>Tiền mặt hàng năm (2026, 2025, 2024, 2023, 2022, 2021, 2020, 2019); Cổ tức CP (2022)</t>
        </is>
      </c>
    </row>
    <row r="29" ht="22" customHeight="1">
      <c r="A29" s="13" t="n">
        <v>26</v>
      </c>
      <c r="B29" s="5" t="inlineStr">
        <is>
          <t>BSR</t>
        </is>
      </c>
      <c r="C29" s="13" t="inlineStr">
        <is>
          <t>HOSE</t>
        </is>
      </c>
      <c r="D29" s="14" t="inlineStr">
        <is>
          <t>CTCP - Tổng Công ty Lọc hóa dầu Việt Nam</t>
        </is>
      </c>
      <c r="E29" s="14" t="inlineStr">
        <is>
          <t>Dầu khí</t>
        </is>
      </c>
      <c r="F29" s="14" t="inlineStr">
        <is>
          <t>Dầu khí</t>
        </is>
      </c>
      <c r="G29" s="7" t="inlineStr">
        <is>
          <t>⭐ Đầu ngành</t>
        </is>
      </c>
      <c r="H29" s="15" t="n">
        <v>11877170</v>
      </c>
      <c r="I29" s="16" t="n">
        <v>30200</v>
      </c>
      <c r="J29" s="17" t="inlineStr">
        <is>
          <t>Cả tiền mặt &amp; cổ phiếu</t>
        </is>
      </c>
      <c r="K29" s="11" t="inlineStr">
        <is>
          <t>Hàng năm</t>
        </is>
      </c>
      <c r="L29" s="12" t="inlineStr">
        <is>
          <t>Có</t>
        </is>
      </c>
      <c r="M29" s="14" t="inlineStr">
        <is>
          <t>2026, 2024, 2023, 2022</t>
        </is>
      </c>
      <c r="N29" s="14" t="inlineStr">
        <is>
          <t>2025</t>
        </is>
      </c>
      <c r="O29" s="14" t="inlineStr">
        <is>
          <t>Tiền mặt hàng năm (2026, 2024, 2023, 2022); Cổ tức CP (2025)</t>
        </is>
      </c>
    </row>
    <row r="30" ht="22" customHeight="1">
      <c r="A30" s="4" t="n">
        <v>27</v>
      </c>
      <c r="B30" s="5" t="inlineStr">
        <is>
          <t>PVD</t>
        </is>
      </c>
      <c r="C30" s="4" t="inlineStr">
        <is>
          <t>HOSE</t>
        </is>
      </c>
      <c r="D30" s="6" t="inlineStr">
        <is>
          <t>Tổng Công ty cổ phần Khoan và Dịch vụ khoan Dầu khí</t>
        </is>
      </c>
      <c r="E30" s="6" t="inlineStr">
        <is>
          <t>Dầu khí</t>
        </is>
      </c>
      <c r="F30" s="6" t="inlineStr">
        <is>
          <t>Dầu khí</t>
        </is>
      </c>
      <c r="G30" s="7" t="inlineStr">
        <is>
          <t>⭐ Đầu ngành</t>
        </is>
      </c>
      <c r="H30" s="8" t="n">
        <v>5690160</v>
      </c>
      <c r="I30" s="9" t="n">
        <v>19200</v>
      </c>
      <c r="J30" s="10" t="inlineStr">
        <is>
          <t>Cả tiền mặt &amp; cổ phiếu</t>
        </is>
      </c>
      <c r="K30" s="11" t="inlineStr">
        <is>
          <t>Hàng năm</t>
        </is>
      </c>
      <c r="L30" s="12" t="inlineStr">
        <is>
          <t>Có</t>
        </is>
      </c>
      <c r="M30" s="6" t="inlineStr">
        <is>
          <t>2025, 2015, 2014, 2013</t>
        </is>
      </c>
      <c r="N30" s="6" t="inlineStr">
        <is>
          <t>2026, 2022, 2019, 2016, 2015</t>
        </is>
      </c>
      <c r="O30" s="6" t="inlineStr">
        <is>
          <t>Tiền mặt hàng năm (2025, 2015, 2014, 2013); Cổ tức CP (2026, 2022, 2019, 2016, 2015)</t>
        </is>
      </c>
    </row>
    <row r="31" ht="22" customHeight="1">
      <c r="A31" s="13" t="n">
        <v>28</v>
      </c>
      <c r="B31" s="22" t="inlineStr">
        <is>
          <t>PLX</t>
        </is>
      </c>
      <c r="C31" s="13" t="inlineStr">
        <is>
          <t>HOSE</t>
        </is>
      </c>
      <c r="D31" s="14" t="inlineStr">
        <is>
          <t>Tập đoàn Xăng Dầu Việt Nam</t>
        </is>
      </c>
      <c r="E31" s="14" t="inlineStr">
        <is>
          <t>Dầu khí</t>
        </is>
      </c>
      <c r="F31" s="14" t="inlineStr">
        <is>
          <t>Dầu khí</t>
        </is>
      </c>
      <c r="G31" s="7" t="inlineStr">
        <is>
          <t>⭐ Đầu ngành</t>
        </is>
      </c>
      <c r="H31" s="15" t="n">
        <v>5352770</v>
      </c>
      <c r="I31" s="16" t="n">
        <v>37400</v>
      </c>
      <c r="J31" s="23" t="inlineStr">
        <is>
          <t>Tiền mặt hàng năm</t>
        </is>
      </c>
      <c r="K31" s="11" t="inlineStr">
        <is>
          <t>Hàng năm</t>
        </is>
      </c>
      <c r="L31" s="13" t="inlineStr">
        <is>
          <t>Không</t>
        </is>
      </c>
      <c r="M31" s="14" t="inlineStr">
        <is>
          <t>2026, 2025, 2024, 2023, 2022, 2021, 2020, 2019</t>
        </is>
      </c>
      <c r="N31" s="14" t="inlineStr">
        <is>
          <t>-</t>
        </is>
      </c>
      <c r="O31" s="14" t="inlineStr">
        <is>
          <t>Tiền mặt hàng năm (2026, 2025, 2024, 2023, 2022, 2021, 2020, 2019)</t>
        </is>
      </c>
    </row>
    <row r="32" ht="22" customHeight="1">
      <c r="A32" s="4" t="n">
        <v>29</v>
      </c>
      <c r="B32" s="5" t="inlineStr">
        <is>
          <t>PVS</t>
        </is>
      </c>
      <c r="C32" s="4" t="inlineStr">
        <is>
          <t>HNX</t>
        </is>
      </c>
      <c r="D32" s="6" t="inlineStr">
        <is>
          <t>Tổng Công ty cổ phần Dịch vụ Kỹ thuật Dầu khí Việt Nam</t>
        </is>
      </c>
      <c r="E32" s="6" t="inlineStr">
        <is>
          <t>Dầu khí</t>
        </is>
      </c>
      <c r="F32" s="6" t="inlineStr">
        <is>
          <t>Dầu khí</t>
        </is>
      </c>
      <c r="G32" s="7" t="inlineStr">
        <is>
          <t>⭐ Đầu ngành</t>
        </is>
      </c>
      <c r="H32" s="8" t="n">
        <v>3646720</v>
      </c>
      <c r="I32" s="9" t="n">
        <v>33300</v>
      </c>
      <c r="J32" s="10" t="inlineStr">
        <is>
          <t>Cả tiền mặt &amp; cổ phiếu</t>
        </is>
      </c>
      <c r="K32" s="11" t="inlineStr">
        <is>
          <t>Hàng năm</t>
        </is>
      </c>
      <c r="L32" s="12" t="inlineStr">
        <is>
          <t>Có</t>
        </is>
      </c>
      <c r="M32" s="6" t="inlineStr">
        <is>
          <t>2024, 2023, 2022, 2021, 2020, 2019, 2018, 2017</t>
        </is>
      </c>
      <c r="N32" s="6" t="inlineStr">
        <is>
          <t>2026, 2025, 2018, 2012</t>
        </is>
      </c>
      <c r="O32" s="6" t="inlineStr">
        <is>
          <t>Tiền mặt hàng năm (2024, 2023, 2022, 2021, 2020, 2019, 2018, 2017); Cổ tức CP (2026, 2025, 2018, 2012)</t>
        </is>
      </c>
    </row>
    <row r="33" ht="22" customHeight="1">
      <c r="A33" s="13" t="n">
        <v>30</v>
      </c>
      <c r="B33" s="22" t="inlineStr">
        <is>
          <t>OIL</t>
        </is>
      </c>
      <c r="C33" s="13" t="inlineStr">
        <is>
          <t>UPCOM</t>
        </is>
      </c>
      <c r="D33" s="14" t="inlineStr">
        <is>
          <t>Tổng Công ty Dầu Việt Nam - CTCP</t>
        </is>
      </c>
      <c r="E33" s="14" t="inlineStr">
        <is>
          <t>Dầu khí</t>
        </is>
      </c>
      <c r="F33" s="14" t="inlineStr">
        <is>
          <t>Dầu khí</t>
        </is>
      </c>
      <c r="G33" s="7" t="inlineStr">
        <is>
          <t>⭐ Đầu ngành</t>
        </is>
      </c>
      <c r="H33" s="15" t="n">
        <v>2557870</v>
      </c>
      <c r="I33" s="16" t="n">
        <v>14400</v>
      </c>
      <c r="J33" s="23" t="inlineStr">
        <is>
          <t>Tiền mặt hàng năm</t>
        </is>
      </c>
      <c r="K33" s="11" t="inlineStr">
        <is>
          <t>Hàng năm</t>
        </is>
      </c>
      <c r="L33" s="13" t="inlineStr">
        <is>
          <t>Không</t>
        </is>
      </c>
      <c r="M33" s="14" t="inlineStr">
        <is>
          <t>2026, 2025, 2024, 2023, 2022</t>
        </is>
      </c>
      <c r="N33" s="14" t="inlineStr">
        <is>
          <t>-</t>
        </is>
      </c>
      <c r="O33" s="14" t="inlineStr">
        <is>
          <t>Tiền mặt hàng năm (2026, 2025, 2024, 2023, 2022)</t>
        </is>
      </c>
    </row>
    <row r="34" ht="22" customHeight="1">
      <c r="A34" s="4" t="n">
        <v>31</v>
      </c>
      <c r="B34" s="5" t="inlineStr">
        <is>
          <t>VIX</t>
        </is>
      </c>
      <c r="C34" s="4" t="inlineStr">
        <is>
          <t>HOSE</t>
        </is>
      </c>
      <c r="D34" s="6" t="inlineStr">
        <is>
          <t>CTCP Chứng khoán VIX</t>
        </is>
      </c>
      <c r="E34" s="6" t="inlineStr">
        <is>
          <t>Dịch vụ tài chính</t>
        </is>
      </c>
      <c r="F34" s="6" t="inlineStr">
        <is>
          <t>Tài chính</t>
        </is>
      </c>
      <c r="G34" s="7" t="inlineStr">
        <is>
          <t>⭐ Đầu ngành</t>
        </is>
      </c>
      <c r="H34" s="8" t="n">
        <v>42059065.2</v>
      </c>
      <c r="I34" s="9" t="n">
        <v>13150</v>
      </c>
      <c r="J34" s="10" t="inlineStr">
        <is>
          <t>Cả tiền mặt &amp; cổ phiếu</t>
        </is>
      </c>
      <c r="K34" s="11" t="inlineStr">
        <is>
          <t>Hàng năm</t>
        </is>
      </c>
      <c r="L34" s="12" t="inlineStr">
        <is>
          <t>Có</t>
        </is>
      </c>
      <c r="M34" s="6" t="inlineStr">
        <is>
          <t>2022, 2018, 2016</t>
        </is>
      </c>
      <c r="N34" s="6" t="inlineStr">
        <is>
          <t>2026, 2025, 2024, 2023, 2022, 2021, 2020, 2019</t>
        </is>
      </c>
      <c r="O34" s="6" t="inlineStr">
        <is>
          <t>Tiền mặt hàng năm (2022, 2018, 2016); Cổ tức CP (2026, 2025, 2024, 2023, 2022, 2021, 2020, 2019)</t>
        </is>
      </c>
    </row>
    <row r="35" ht="22" customHeight="1">
      <c r="A35" s="13" t="n">
        <v>32</v>
      </c>
      <c r="B35" s="5" t="inlineStr">
        <is>
          <t>SSI</t>
        </is>
      </c>
      <c r="C35" s="13" t="inlineStr">
        <is>
          <t>HOSE</t>
        </is>
      </c>
      <c r="D35" s="14" t="inlineStr">
        <is>
          <t>CTCP Chứng khoán SSI</t>
        </is>
      </c>
      <c r="E35" s="14" t="inlineStr">
        <is>
          <t>Dịch vụ tài chính</t>
        </is>
      </c>
      <c r="F35" s="14" t="inlineStr">
        <is>
          <t>Tài chính</t>
        </is>
      </c>
      <c r="G35" s="7" t="inlineStr">
        <is>
          <t>⭐ Đầu ngành</t>
        </is>
      </c>
      <c r="H35" s="15" t="n">
        <v>21453600</v>
      </c>
      <c r="I35" s="16" t="n">
        <v>21400</v>
      </c>
      <c r="J35" s="17" t="inlineStr">
        <is>
          <t>Cả tiền mặt &amp; cổ phiếu</t>
        </is>
      </c>
      <c r="K35" s="11" t="inlineStr">
        <is>
          <t>Hàng năm</t>
        </is>
      </c>
      <c r="L35" s="12" t="inlineStr">
        <is>
          <t>Có</t>
        </is>
      </c>
      <c r="M35" s="14" t="inlineStr">
        <is>
          <t>2026, 2025, 2024, 2023, 2022, 2021, 2020, 2019</t>
        </is>
      </c>
      <c r="N35" s="14" t="inlineStr">
        <is>
          <t>2026, 2024, 2021, 2020, 2015, 2010</t>
        </is>
      </c>
      <c r="O35" s="14" t="inlineStr">
        <is>
          <t>Tiền mặt hàng năm (2026, 2025, 2024, 2023, 2022, 2021, 2020, 2019); Cổ tức CP (2026, 2024, 2021, 2020, 2015, 2010)</t>
        </is>
      </c>
    </row>
    <row r="36" ht="22" customHeight="1">
      <c r="A36" s="4" t="n">
        <v>33</v>
      </c>
      <c r="B36" s="5" t="inlineStr">
        <is>
          <t>VND</t>
        </is>
      </c>
      <c r="C36" s="4" t="inlineStr">
        <is>
          <t>HOSE</t>
        </is>
      </c>
      <c r="D36" s="6" t="inlineStr">
        <is>
          <t>CTCP Chứng khoán VNDIRECT</t>
        </is>
      </c>
      <c r="E36" s="6" t="inlineStr">
        <is>
          <t>Dịch vụ tài chính</t>
        </is>
      </c>
      <c r="F36" s="6" t="inlineStr">
        <is>
          <t>Tài chính</t>
        </is>
      </c>
      <c r="G36" s="7" t="inlineStr">
        <is>
          <t>⭐ Đầu ngành</t>
        </is>
      </c>
      <c r="H36" s="8" t="n">
        <v>10492485</v>
      </c>
      <c r="I36" s="9" t="n">
        <v>15200</v>
      </c>
      <c r="J36" s="10" t="inlineStr">
        <is>
          <t>Cả tiền mặt &amp; cổ phiếu</t>
        </is>
      </c>
      <c r="K36" s="11" t="inlineStr">
        <is>
          <t>Hàng năm</t>
        </is>
      </c>
      <c r="L36" s="12" t="inlineStr">
        <is>
          <t>Có</t>
        </is>
      </c>
      <c r="M36" s="6" t="inlineStr">
        <is>
          <t>2026, 2025, 2024, 2022, 2021, 2020, 2019, 2018</t>
        </is>
      </c>
      <c r="N36" s="6" t="inlineStr">
        <is>
          <t>2024, 2022, 2018, 2014</t>
        </is>
      </c>
      <c r="O36" s="6" t="inlineStr">
        <is>
          <t>Tiền mặt hàng năm (2026, 2025, 2024, 2022, 2021, 2020, 2019, 2018); Cổ tức CP (2024, 2022, 2018, 2014)</t>
        </is>
      </c>
    </row>
    <row r="37" ht="22" customHeight="1">
      <c r="A37" s="13" t="n">
        <v>34</v>
      </c>
      <c r="B37" s="5" t="inlineStr">
        <is>
          <t>VCI</t>
        </is>
      </c>
      <c r="C37" s="13" t="inlineStr">
        <is>
          <t>HOSE</t>
        </is>
      </c>
      <c r="D37" s="14" t="inlineStr">
        <is>
          <t>CTCP Chứng khoán Vietcap</t>
        </is>
      </c>
      <c r="E37" s="14" t="inlineStr">
        <is>
          <t>Dịch vụ tài chính</t>
        </is>
      </c>
      <c r="F37" s="14" t="inlineStr">
        <is>
          <t>Tài chính</t>
        </is>
      </c>
      <c r="G37" s="7" t="inlineStr">
        <is>
          <t>⭐ Đầu ngành</t>
        </is>
      </c>
      <c r="H37" s="15" t="n">
        <v>10459235</v>
      </c>
      <c r="I37" s="16" t="n">
        <v>20650</v>
      </c>
      <c r="J37" s="17" t="inlineStr">
        <is>
          <t>Cả tiền mặt &amp; cổ phiếu</t>
        </is>
      </c>
      <c r="K37" s="11" t="inlineStr">
        <is>
          <t>Hàng năm</t>
        </is>
      </c>
      <c r="L37" s="12" t="inlineStr">
        <is>
          <t>Có</t>
        </is>
      </c>
      <c r="M37" s="14" t="inlineStr">
        <is>
          <t>2026, 2025, 2024, 2023, 2022, 2021, 2020, 2019</t>
        </is>
      </c>
      <c r="N37" s="14" t="inlineStr">
        <is>
          <t>2026, 2024, 2022, 2021, 2018</t>
        </is>
      </c>
      <c r="O37" s="14" t="inlineStr">
        <is>
          <t>Tiền mặt hàng năm (2026, 2025, 2024, 2023, 2022, 2021, 2020, 2019); Cổ tức CP (2026, 2024, 2022, 2021, 2018)</t>
        </is>
      </c>
    </row>
    <row r="38" ht="22" customHeight="1">
      <c r="A38" s="4" t="n">
        <v>35</v>
      </c>
      <c r="B38" s="5" t="inlineStr">
        <is>
          <t>SHS</t>
        </is>
      </c>
      <c r="C38" s="4" t="inlineStr">
        <is>
          <t>HNX</t>
        </is>
      </c>
      <c r="D38" s="6" t="inlineStr">
        <is>
          <t>CTCP Chứng khoán Sài Gòn - Hà Nội</t>
        </is>
      </c>
      <c r="E38" s="6" t="inlineStr">
        <is>
          <t>Dịch vụ tài chính</t>
        </is>
      </c>
      <c r="F38" s="6" t="inlineStr">
        <is>
          <t>Tài chính</t>
        </is>
      </c>
      <c r="G38" s="7" t="inlineStr">
        <is>
          <t>⭐ Đầu ngành</t>
        </is>
      </c>
      <c r="H38" s="8" t="n">
        <v>9578055</v>
      </c>
      <c r="I38" s="9" t="n">
        <v>14400</v>
      </c>
      <c r="J38" s="10" t="inlineStr">
        <is>
          <t>Cả tiền mặt &amp; cổ phiếu</t>
        </is>
      </c>
      <c r="K38" s="11" t="inlineStr">
        <is>
          <t>Hàng năm</t>
        </is>
      </c>
      <c r="L38" s="12" t="inlineStr">
        <is>
          <t>Có</t>
        </is>
      </c>
      <c r="M38" s="6" t="inlineStr">
        <is>
          <t>2025, 2021, 2020, 2019, 2017, 2010, 2009</t>
        </is>
      </c>
      <c r="N38" s="6" t="inlineStr">
        <is>
          <t>2025, 2022, 2021, 2019</t>
        </is>
      </c>
      <c r="O38" s="6" t="inlineStr">
        <is>
          <t>Tiền mặt hàng năm (2025, 2021, 2020, 2019, 2017, 2010, 2009); Cổ tức CP (2025, 2022, 2021, 2019)</t>
        </is>
      </c>
    </row>
    <row r="39" ht="22" customHeight="1">
      <c r="A39" s="13" t="n">
        <v>36</v>
      </c>
      <c r="B39" s="5" t="inlineStr">
        <is>
          <t>HCM</t>
        </is>
      </c>
      <c r="C39" s="13" t="inlineStr">
        <is>
          <t>HOSE</t>
        </is>
      </c>
      <c r="D39" s="14" t="inlineStr">
        <is>
          <t>CTCP Chứng khoán Thành phố Hồ Chí Minh</t>
        </is>
      </c>
      <c r="E39" s="14" t="inlineStr">
        <is>
          <t>Dịch vụ tài chính</t>
        </is>
      </c>
      <c r="F39" s="14" t="inlineStr">
        <is>
          <t>Tài chính</t>
        </is>
      </c>
      <c r="G39" s="7" t="inlineStr">
        <is>
          <t>⭐ Đầu ngành</t>
        </is>
      </c>
      <c r="H39" s="15" t="n">
        <v>3864010</v>
      </c>
      <c r="I39" s="16" t="n">
        <v>25500</v>
      </c>
      <c r="J39" s="17" t="inlineStr">
        <is>
          <t>Cả tiền mặt &amp; cổ phiếu</t>
        </is>
      </c>
      <c r="K39" s="11" t="inlineStr">
        <is>
          <t>Hàng năm</t>
        </is>
      </c>
      <c r="L39" s="12" t="inlineStr">
        <is>
          <t>Có</t>
        </is>
      </c>
      <c r="M39" s="14" t="inlineStr">
        <is>
          <t>2026, 2025, 2024, 2023, 2021, 2020, 2019, 2018</t>
        </is>
      </c>
      <c r="N39" s="14" t="inlineStr">
        <is>
          <t>2024, 2019, 2013</t>
        </is>
      </c>
      <c r="O39" s="14" t="inlineStr">
        <is>
          <t>Tiền mặt hàng năm (2026, 2025, 2024, 2023, 2021, 2020, 2019, 2018); Cổ tức CP (2024, 2019, 2013)</t>
        </is>
      </c>
    </row>
    <row r="40" ht="22" customHeight="1">
      <c r="A40" s="4" t="n">
        <v>37</v>
      </c>
      <c r="B40" s="5" t="inlineStr">
        <is>
          <t>MBS</t>
        </is>
      </c>
      <c r="C40" s="4" t="inlineStr">
        <is>
          <t>HNX</t>
        </is>
      </c>
      <c r="D40" s="6" t="inlineStr">
        <is>
          <t>CTCP Chứng khoán MB</t>
        </is>
      </c>
      <c r="E40" s="6" t="inlineStr">
        <is>
          <t>Dịch vụ tài chính</t>
        </is>
      </c>
      <c r="F40" s="6" t="inlineStr">
        <is>
          <t>Tài chính</t>
        </is>
      </c>
      <c r="G40" s="7" t="inlineStr">
        <is>
          <t>⭐ Đầu ngành</t>
        </is>
      </c>
      <c r="H40" s="8" t="n">
        <v>3305585</v>
      </c>
      <c r="I40" s="9" t="n">
        <v>17000</v>
      </c>
      <c r="J40" s="10" t="inlineStr">
        <is>
          <t>Cả tiền mặt &amp; cổ phiếu</t>
        </is>
      </c>
      <c r="K40" s="11" t="inlineStr">
        <is>
          <t>Hàng năm</t>
        </is>
      </c>
      <c r="L40" s="12" t="inlineStr">
        <is>
          <t>Có</t>
        </is>
      </c>
      <c r="M40" s="6" t="inlineStr">
        <is>
          <t>2026, 2025, 2024, 2020, 2017</t>
        </is>
      </c>
      <c r="N40" s="6" t="inlineStr">
        <is>
          <t>2025, 2023, 2022, 2021, 2020</t>
        </is>
      </c>
      <c r="O40" s="6" t="inlineStr">
        <is>
          <t>Tiền mặt hàng năm (2026, 2025, 2024, 2020, 2017); Cổ tức CP (2025, 2023, 2022, 2021, 2020)</t>
        </is>
      </c>
    </row>
    <row r="41" ht="22" customHeight="1">
      <c r="A41" s="13" t="n">
        <v>38</v>
      </c>
      <c r="B41" s="5" t="inlineStr">
        <is>
          <t>VSC</t>
        </is>
      </c>
      <c r="C41" s="13" t="inlineStr">
        <is>
          <t>HOSE</t>
        </is>
      </c>
      <c r="D41" s="14" t="inlineStr">
        <is>
          <t>CTCP Container Việt Nam</t>
        </is>
      </c>
      <c r="E41" s="14" t="inlineStr">
        <is>
          <t>Hàng &amp; Dịch vụ Công nghiệp</t>
        </is>
      </c>
      <c r="F41" s="14" t="inlineStr">
        <is>
          <t>Công nghiệp</t>
        </is>
      </c>
      <c r="G41" s="7" t="inlineStr">
        <is>
          <t>⭐ Đầu ngành</t>
        </is>
      </c>
      <c r="H41" s="15" t="n">
        <v>10176935</v>
      </c>
      <c r="I41" s="16" t="n">
        <v>13350</v>
      </c>
      <c r="J41" s="17" t="inlineStr">
        <is>
          <t>Cả tiền mặt &amp; cổ phiếu</t>
        </is>
      </c>
      <c r="K41" s="11" t="inlineStr">
        <is>
          <t>Hàng năm</t>
        </is>
      </c>
      <c r="L41" s="12" t="inlineStr">
        <is>
          <t>Có</t>
        </is>
      </c>
      <c r="M41" s="14" t="inlineStr">
        <is>
          <t>2025, 2022, 2021, 2020, 2019, 2018, 2017, 2016</t>
        </is>
      </c>
      <c r="N41" s="14" t="inlineStr">
        <is>
          <t>2025, 2024, 2023, 2022, 2019, 2017, 2016, 2015</t>
        </is>
      </c>
      <c r="O41" s="14" t="inlineStr">
        <is>
          <t>Tiền mặt hàng năm (2025, 2022, 2021, 2020, 2019, 2018, 2017, 2016); Cổ tức CP (2025, 2024, 2023, 2022, 2019, 2017, 2016, 2015)</t>
        </is>
      </c>
    </row>
    <row r="42" ht="22" customHeight="1">
      <c r="A42" s="4" t="n">
        <v>39</v>
      </c>
      <c r="B42" s="5" t="inlineStr">
        <is>
          <t>GEX</t>
        </is>
      </c>
      <c r="C42" s="4" t="inlineStr">
        <is>
          <t>HOSE</t>
        </is>
      </c>
      <c r="D42" s="6" t="inlineStr">
        <is>
          <t>CTCP Tập đoàn GELEX</t>
        </is>
      </c>
      <c r="E42" s="6" t="inlineStr">
        <is>
          <t>Hàng &amp; Dịch vụ Công nghiệp</t>
        </is>
      </c>
      <c r="F42" s="6" t="inlineStr">
        <is>
          <t>Công nghiệp</t>
        </is>
      </c>
      <c r="G42" s="7" t="inlineStr">
        <is>
          <t>⭐ Đầu ngành</t>
        </is>
      </c>
      <c r="H42" s="8" t="n">
        <v>9779330</v>
      </c>
      <c r="I42" s="9" t="n">
        <v>24400</v>
      </c>
      <c r="J42" s="10" t="inlineStr">
        <is>
          <t>Cả tiền mặt &amp; cổ phiếu</t>
        </is>
      </c>
      <c r="K42" s="11" t="inlineStr">
        <is>
          <t>Hàng năm</t>
        </is>
      </c>
      <c r="L42" s="12" t="inlineStr">
        <is>
          <t>Có</t>
        </is>
      </c>
      <c r="M42" s="6" t="inlineStr">
        <is>
          <t>2025, 2022, 2018, 2017, 2016</t>
        </is>
      </c>
      <c r="N42" s="6" t="inlineStr">
        <is>
          <t>2026, 2025, 2021, 2019, 2018, 2017</t>
        </is>
      </c>
      <c r="O42" s="6" t="inlineStr">
        <is>
          <t>Tiền mặt hàng năm (2025, 2022, 2018, 2017, 2016); Cổ tức CP (2026, 2025, 2021, 2019, 2018, 2017)</t>
        </is>
      </c>
    </row>
    <row r="43" ht="22" customHeight="1">
      <c r="A43" s="13" t="n">
        <v>40</v>
      </c>
      <c r="B43" s="5" t="inlineStr">
        <is>
          <t>PVT</t>
        </is>
      </c>
      <c r="C43" s="13" t="inlineStr">
        <is>
          <t>HOSE</t>
        </is>
      </c>
      <c r="D43" s="14" t="inlineStr">
        <is>
          <t>Tổng Công ty cổ phần Vận tải Dầu khí</t>
        </is>
      </c>
      <c r="E43" s="14" t="inlineStr">
        <is>
          <t>Hàng &amp; Dịch vụ Công nghiệp</t>
        </is>
      </c>
      <c r="F43" s="14" t="inlineStr">
        <is>
          <t>Công nghiệp</t>
        </is>
      </c>
      <c r="G43" s="7" t="inlineStr">
        <is>
          <t>⭐ Đầu ngành</t>
        </is>
      </c>
      <c r="H43" s="15" t="n">
        <v>5558045</v>
      </c>
      <c r="I43" s="16" t="n">
        <v>22800</v>
      </c>
      <c r="J43" s="17" t="inlineStr">
        <is>
          <t>Cả tiền mặt &amp; cổ phiếu</t>
        </is>
      </c>
      <c r="K43" s="11" t="inlineStr">
        <is>
          <t>Hàng năm</t>
        </is>
      </c>
      <c r="L43" s="12" t="inlineStr">
        <is>
          <t>Có</t>
        </is>
      </c>
      <c r="M43" s="14" t="inlineStr">
        <is>
          <t>2024, 2023, 2021, 2020, 2019, 2017, 2016</t>
        </is>
      </c>
      <c r="N43" s="14" t="inlineStr">
        <is>
          <t>2026, 2025, 2024, 2020, 2016, 2014</t>
        </is>
      </c>
      <c r="O43" s="14" t="inlineStr">
        <is>
          <t>Tiền mặt hàng năm (2024, 2023, 2021, 2020, 2019, 2017, 2016); Cổ tức CP (2026, 2025, 2024, 2020, 2016, 2014)</t>
        </is>
      </c>
    </row>
    <row r="44" ht="22" customHeight="1">
      <c r="A44" s="4" t="n">
        <v>41</v>
      </c>
      <c r="B44" s="5" t="inlineStr">
        <is>
          <t>GEE</t>
        </is>
      </c>
      <c r="C44" s="4" t="inlineStr">
        <is>
          <t>HOSE</t>
        </is>
      </c>
      <c r="D44" s="6" t="inlineStr">
        <is>
          <t>CTCP Điện lực Gelex</t>
        </is>
      </c>
      <c r="E44" s="6" t="inlineStr">
        <is>
          <t>Hàng &amp; Dịch vụ Công nghiệp</t>
        </is>
      </c>
      <c r="F44" s="6" t="inlineStr">
        <is>
          <t>Công nghiệp</t>
        </is>
      </c>
      <c r="G44" s="7" t="inlineStr">
        <is>
          <t>⭐ Đầu ngành</t>
        </is>
      </c>
      <c r="H44" s="8" t="n">
        <v>1400230</v>
      </c>
      <c r="I44" s="9" t="n">
        <v>63900</v>
      </c>
      <c r="J44" s="10" t="inlineStr">
        <is>
          <t>Cả tiền mặt &amp; cổ phiếu</t>
        </is>
      </c>
      <c r="K44" s="11" t="inlineStr">
        <is>
          <t>Hàng năm</t>
        </is>
      </c>
      <c r="L44" s="12" t="inlineStr">
        <is>
          <t>Có</t>
        </is>
      </c>
      <c r="M44" s="6" t="inlineStr">
        <is>
          <t>2026, 2025, 2024, 2023, 2022</t>
        </is>
      </c>
      <c r="N44" s="6" t="inlineStr">
        <is>
          <t>2026, 2025</t>
        </is>
      </c>
      <c r="O44" s="6" t="inlineStr">
        <is>
          <t>Tiền mặt hàng năm (2026, 2025, 2024, 2023, 2022); Cổ tức CP (2026, 2025)</t>
        </is>
      </c>
    </row>
    <row r="45" ht="22" customHeight="1">
      <c r="A45" s="13" t="n">
        <v>42</v>
      </c>
      <c r="B45" s="5" t="inlineStr">
        <is>
          <t>GMD</t>
        </is>
      </c>
      <c r="C45" s="13" t="inlineStr">
        <is>
          <t>HOSE</t>
        </is>
      </c>
      <c r="D45" s="14" t="inlineStr">
        <is>
          <t>CTCP Tập đoàn Gemadept</t>
        </is>
      </c>
      <c r="E45" s="14" t="inlineStr">
        <is>
          <t>Hàng &amp; Dịch vụ Công nghiệp</t>
        </is>
      </c>
      <c r="F45" s="14" t="inlineStr">
        <is>
          <t>Công nghiệp</t>
        </is>
      </c>
      <c r="G45" s="7" t="inlineStr">
        <is>
          <t>⭐ Đầu ngành</t>
        </is>
      </c>
      <c r="H45" s="15" t="n">
        <v>955670</v>
      </c>
      <c r="I45" s="16" t="n">
        <v>77300</v>
      </c>
      <c r="J45" s="17" t="inlineStr">
        <is>
          <t>Cả tiền mặt &amp; cổ phiếu</t>
        </is>
      </c>
      <c r="K45" s="11" t="inlineStr">
        <is>
          <t>Hàng năm</t>
        </is>
      </c>
      <c r="L45" s="12" t="inlineStr">
        <is>
          <t>Có</t>
        </is>
      </c>
      <c r="M45" s="14" t="inlineStr">
        <is>
          <t>2026, 2025, 2024, 2023, 2022, 2021, 2020, 2019</t>
        </is>
      </c>
      <c r="N45" s="14" t="inlineStr">
        <is>
          <t>2016</t>
        </is>
      </c>
      <c r="O45" s="14" t="inlineStr">
        <is>
          <t>Tiền mặt hàng năm (2026, 2025, 2024, 2023, 2022, 2021, 2020, 2019); Cổ tức CP (2016)</t>
        </is>
      </c>
    </row>
    <row r="46" ht="22" customHeight="1">
      <c r="A46" s="4" t="n">
        <v>43</v>
      </c>
      <c r="B46" s="5" t="inlineStr">
        <is>
          <t>HAH</t>
        </is>
      </c>
      <c r="C46" s="4" t="inlineStr">
        <is>
          <t>HOSE</t>
        </is>
      </c>
      <c r="D46" s="6" t="inlineStr">
        <is>
          <t>CTCP Vận tải và Xếp dỡ Hải An</t>
        </is>
      </c>
      <c r="E46" s="6" t="inlineStr">
        <is>
          <t>Hàng &amp; Dịch vụ Công nghiệp</t>
        </is>
      </c>
      <c r="F46" s="6" t="inlineStr">
        <is>
          <t>Công nghiệp</t>
        </is>
      </c>
      <c r="G46" s="7" t="inlineStr">
        <is>
          <t>⭐ Đầu ngành</t>
        </is>
      </c>
      <c r="H46" s="8" t="n">
        <v>726735</v>
      </c>
      <c r="I46" s="9" t="n">
        <v>47950</v>
      </c>
      <c r="J46" s="10" t="inlineStr">
        <is>
          <t>Cả tiền mặt &amp; cổ phiếu</t>
        </is>
      </c>
      <c r="K46" s="11" t="inlineStr">
        <is>
          <t>Hàng năm</t>
        </is>
      </c>
      <c r="L46" s="12" t="inlineStr">
        <is>
          <t>Có</t>
        </is>
      </c>
      <c r="M46" s="6" t="inlineStr">
        <is>
          <t>2026, 2025, 2022, 2021, 2020, 2019, 2018, 2017</t>
        </is>
      </c>
      <c r="N46" s="6" t="inlineStr">
        <is>
          <t>2025, 2024, 2023, 2022, 2017</t>
        </is>
      </c>
      <c r="O46" s="6" t="inlineStr">
        <is>
          <t>Tiền mặt hàng năm (2026, 2025, 2022, 2021, 2020, 2019, 2018, 2017); Cổ tức CP (2025, 2024, 2023, 2022, 2017)</t>
        </is>
      </c>
    </row>
    <row r="47" ht="22" customHeight="1">
      <c r="A47" s="13" t="n">
        <v>44</v>
      </c>
      <c r="B47" s="5" t="inlineStr">
        <is>
          <t>PNJ</t>
        </is>
      </c>
      <c r="C47" s="13" t="inlineStr">
        <is>
          <t>HOSE</t>
        </is>
      </c>
      <c r="D47" s="14" t="inlineStr">
        <is>
          <t>CTCP Vàng bạc Đá quý Phú Nhuận</t>
        </is>
      </c>
      <c r="E47" s="14" t="inlineStr">
        <is>
          <t>Hàng cá nhân &amp; Gia dụng</t>
        </is>
      </c>
      <c r="F47" s="14" t="inlineStr">
        <is>
          <t>Hàng Tiêu dùng</t>
        </is>
      </c>
      <c r="G47" s="7" t="inlineStr">
        <is>
          <t>⭐ Đầu ngành</t>
        </is>
      </c>
      <c r="H47" s="15" t="n">
        <v>5421750</v>
      </c>
      <c r="I47" s="16" t="n">
        <v>36750</v>
      </c>
      <c r="J47" s="17" t="inlineStr">
        <is>
          <t>Cả tiền mặt &amp; cổ phiếu</t>
        </is>
      </c>
      <c r="K47" s="11" t="inlineStr">
        <is>
          <t>Hàng năm</t>
        </is>
      </c>
      <c r="L47" s="12" t="inlineStr">
        <is>
          <t>Có</t>
        </is>
      </c>
      <c r="M47" s="14" t="inlineStr">
        <is>
          <t>2026, 2025, 2024, 2023, 2022, 2021, 2020, 2019</t>
        </is>
      </c>
      <c r="N47" s="14" t="inlineStr">
        <is>
          <t>2026, 2022, 2019, 2018, 2015, 2012</t>
        </is>
      </c>
      <c r="O47" s="14" t="inlineStr">
        <is>
          <t>Tiền mặt hàng năm (2026, 2025, 2024, 2023, 2022, 2021, 2020, 2019); Cổ tức CP (2026, 2022, 2019, 2018, 2015, 2012)</t>
        </is>
      </c>
    </row>
    <row r="48" ht="22" customHeight="1">
      <c r="A48" s="4" t="n">
        <v>45</v>
      </c>
      <c r="B48" s="5" t="inlineStr">
        <is>
          <t>TCM</t>
        </is>
      </c>
      <c r="C48" s="4" t="inlineStr">
        <is>
          <t>HOSE</t>
        </is>
      </c>
      <c r="D48" s="6" t="inlineStr">
        <is>
          <t>CTCP Dệt may - Đầu tư - Thương mại Thành Công</t>
        </is>
      </c>
      <c r="E48" s="6" t="inlineStr">
        <is>
          <t>Hàng cá nhân &amp; Gia dụng</t>
        </is>
      </c>
      <c r="F48" s="6" t="inlineStr">
        <is>
          <t>Hàng Tiêu dùng</t>
        </is>
      </c>
      <c r="G48" s="7" t="inlineStr">
        <is>
          <t>⭐ Đầu ngành</t>
        </is>
      </c>
      <c r="H48" s="8" t="n">
        <v>937890</v>
      </c>
      <c r="I48" s="9" t="n">
        <v>16200</v>
      </c>
      <c r="J48" s="10" t="inlineStr">
        <is>
          <t>Cả tiền mặt &amp; cổ phiếu</t>
        </is>
      </c>
      <c r="K48" s="11" t="inlineStr">
        <is>
          <t>Hàng năm</t>
        </is>
      </c>
      <c r="L48" s="12" t="inlineStr">
        <is>
          <t>Có</t>
        </is>
      </c>
      <c r="M48" s="6" t="inlineStr">
        <is>
          <t>2026, 2025, 2021, 2020, 2019, 2018, 2017, 2016</t>
        </is>
      </c>
      <c r="N48" s="6" t="inlineStr">
        <is>
          <t>2026, 2025, 2024, 2023, 2022, 2021, 2020, 2019</t>
        </is>
      </c>
      <c r="O48" s="6" t="inlineStr">
        <is>
          <t>Tiền mặt hàng năm (2026, 2025, 2021, 2020, 2019, 2018, 2017, 2016); Cổ tức CP (2026, 2025, 2024, 2023, 2022, 2021, 2020, 2019)</t>
        </is>
      </c>
    </row>
    <row r="49" ht="22" customHeight="1">
      <c r="A49" s="13" t="n">
        <v>46</v>
      </c>
      <c r="B49" s="5" t="inlineStr">
        <is>
          <t>TNG</t>
        </is>
      </c>
      <c r="C49" s="13" t="inlineStr">
        <is>
          <t>HNX</t>
        </is>
      </c>
      <c r="D49" s="14" t="inlineStr">
        <is>
          <t>CTCP Đầu tư và Thương mại TNG</t>
        </is>
      </c>
      <c r="E49" s="14" t="inlineStr">
        <is>
          <t>Hàng cá nhân &amp; Gia dụng</t>
        </is>
      </c>
      <c r="F49" s="14" t="inlineStr">
        <is>
          <t>Hàng Tiêu dùng</t>
        </is>
      </c>
      <c r="G49" s="7" t="inlineStr">
        <is>
          <t>⭐ Đầu ngành</t>
        </is>
      </c>
      <c r="H49" s="15" t="n">
        <v>328620</v>
      </c>
      <c r="I49" s="16" t="n">
        <v>16500</v>
      </c>
      <c r="J49" s="17" t="inlineStr">
        <is>
          <t>Cả tiền mặt &amp; cổ phiếu</t>
        </is>
      </c>
      <c r="K49" s="11" t="inlineStr">
        <is>
          <t>Hàng năm</t>
        </is>
      </c>
      <c r="L49" s="12" t="inlineStr">
        <is>
          <t>Có</t>
        </is>
      </c>
      <c r="M49" s="14" t="inlineStr">
        <is>
          <t>2026, 2025, 2024, 2023, 2022, 2021, 2020, 2015</t>
        </is>
      </c>
      <c r="N49" s="14" t="inlineStr">
        <is>
          <t>2024, 2023, 2022, 2021, 2020, 2019, 2018, 2017</t>
        </is>
      </c>
      <c r="O49" s="14" t="inlineStr">
        <is>
          <t>Tiền mặt hàng năm (2026, 2025, 2024, 2023, 2022, 2021, 2020, 2015); Cổ tức CP (2024, 2023, 2022, 2021, 2020, 2019, 2018, 2017)</t>
        </is>
      </c>
    </row>
    <row r="50" ht="22" customHeight="1">
      <c r="A50" s="4" t="n">
        <v>47</v>
      </c>
      <c r="B50" s="22" t="inlineStr">
        <is>
          <t>VGT</t>
        </is>
      </c>
      <c r="C50" s="4" t="inlineStr">
        <is>
          <t>UPCOM</t>
        </is>
      </c>
      <c r="D50" s="6" t="inlineStr">
        <is>
          <t>Tập đoàn Dệt May Việt Nam</t>
        </is>
      </c>
      <c r="E50" s="6" t="inlineStr">
        <is>
          <t>Hàng cá nhân &amp; Gia dụng</t>
        </is>
      </c>
      <c r="F50" s="6" t="inlineStr">
        <is>
          <t>Hàng Tiêu dùng</t>
        </is>
      </c>
      <c r="G50" s="7" t="inlineStr">
        <is>
          <t>⭐ Đầu ngành</t>
        </is>
      </c>
      <c r="H50" s="8" t="n">
        <v>277765</v>
      </c>
      <c r="I50" s="9" t="n">
        <v>11000</v>
      </c>
      <c r="J50" s="27" t="inlineStr">
        <is>
          <t>Tiền mặt hàng năm</t>
        </is>
      </c>
      <c r="K50" s="11" t="inlineStr">
        <is>
          <t>Hàng năm</t>
        </is>
      </c>
      <c r="L50" s="4" t="inlineStr">
        <is>
          <t>Không</t>
        </is>
      </c>
      <c r="M50" s="6" t="inlineStr">
        <is>
          <t>2026, 2025, 2024, 2023, 2022, 2020, 2019, 2018</t>
        </is>
      </c>
      <c r="N50" s="6" t="inlineStr">
        <is>
          <t>-</t>
        </is>
      </c>
      <c r="O50" s="6" t="inlineStr">
        <is>
          <t>Tiền mặt hàng năm (2026, 2025, 2024, 2023, 2022, 2020, 2019, 2018)</t>
        </is>
      </c>
    </row>
    <row r="51" ht="22" customHeight="1">
      <c r="A51" s="13" t="n">
        <v>48</v>
      </c>
      <c r="B51" s="5" t="inlineStr">
        <is>
          <t>MSH</t>
        </is>
      </c>
      <c r="C51" s="13" t="inlineStr">
        <is>
          <t>HOSE</t>
        </is>
      </c>
      <c r="D51" s="14" t="inlineStr">
        <is>
          <t>CTCP May Sông Hồng</t>
        </is>
      </c>
      <c r="E51" s="14" t="inlineStr">
        <is>
          <t>Hàng cá nhân &amp; Gia dụng</t>
        </is>
      </c>
      <c r="F51" s="14" t="inlineStr">
        <is>
          <t>Hàng Tiêu dùng</t>
        </is>
      </c>
      <c r="G51" s="7" t="inlineStr">
        <is>
          <t>⭐ Đầu ngành</t>
        </is>
      </c>
      <c r="H51" s="15" t="n">
        <v>89350</v>
      </c>
      <c r="I51" s="16" t="n">
        <v>30150</v>
      </c>
      <c r="J51" s="17" t="inlineStr">
        <is>
          <t>Cả tiền mặt &amp; cổ phiếu</t>
        </is>
      </c>
      <c r="K51" s="11" t="inlineStr">
        <is>
          <t>Hàng năm</t>
        </is>
      </c>
      <c r="L51" s="12" t="inlineStr">
        <is>
          <t>Có</t>
        </is>
      </c>
      <c r="M51" s="14" t="inlineStr">
        <is>
          <t>2026, 2025, 2024, 2023, 2022, 2021, 2019, 2018</t>
        </is>
      </c>
      <c r="N51" s="14" t="inlineStr">
        <is>
          <t>2025, 2022</t>
        </is>
      </c>
      <c r="O51" s="14" t="inlineStr">
        <is>
          <t>Tiền mặt hàng năm (2026, 2025, 2024, 2023, 2022, 2021, 2019, 2018); Cổ tức CP (2025, 2022)</t>
        </is>
      </c>
    </row>
    <row r="52" ht="22" customHeight="1">
      <c r="A52" s="4" t="n">
        <v>49</v>
      </c>
      <c r="B52" s="5" t="inlineStr">
        <is>
          <t>DPM</t>
        </is>
      </c>
      <c r="C52" s="4" t="inlineStr">
        <is>
          <t>HOSE</t>
        </is>
      </c>
      <c r="D52" s="6" t="inlineStr">
        <is>
          <t>Tổng công ty Phân bón và Hóa chất Dầu khí - CTCP</t>
        </is>
      </c>
      <c r="E52" s="6" t="inlineStr">
        <is>
          <t>Hóa chất</t>
        </is>
      </c>
      <c r="F52" s="6" t="inlineStr">
        <is>
          <t>Nguyên vật liệu</t>
        </is>
      </c>
      <c r="G52" s="7" t="inlineStr">
        <is>
          <t>⭐ Đầu ngành</t>
        </is>
      </c>
      <c r="H52" s="8" t="n">
        <v>3596115</v>
      </c>
      <c r="I52" s="9" t="n">
        <v>22850</v>
      </c>
      <c r="J52" s="10" t="inlineStr">
        <is>
          <t>Cả tiền mặt &amp; cổ phiếu</t>
        </is>
      </c>
      <c r="K52" s="11" t="inlineStr">
        <is>
          <t>Hàng năm</t>
        </is>
      </c>
      <c r="L52" s="12" t="inlineStr">
        <is>
          <t>Có</t>
        </is>
      </c>
      <c r="M52" s="6" t="inlineStr">
        <is>
          <t>2026, 2025, 2024, 2023, 2022, 2021, 2020, 2019</t>
        </is>
      </c>
      <c r="N52" s="6" t="inlineStr">
        <is>
          <t>2025</t>
        </is>
      </c>
      <c r="O52" s="6" t="inlineStr">
        <is>
          <t>Tiền mặt hàng năm (2026, 2025, 2024, 2023, 2022, 2021, 2020, 2019); Cổ tức CP (2025)</t>
        </is>
      </c>
    </row>
    <row r="53" ht="22" customHeight="1">
      <c r="A53" s="13" t="n">
        <v>50</v>
      </c>
      <c r="B53" s="22" t="inlineStr">
        <is>
          <t>DCM</t>
        </is>
      </c>
      <c r="C53" s="13" t="inlineStr">
        <is>
          <t>HOSE</t>
        </is>
      </c>
      <c r="D53" s="14" t="inlineStr">
        <is>
          <t>CTCP - Tổng công ty Phân bón Dầu khí Cà Mau</t>
        </is>
      </c>
      <c r="E53" s="14" t="inlineStr">
        <is>
          <t>Hóa chất</t>
        </is>
      </c>
      <c r="F53" s="14" t="inlineStr">
        <is>
          <t>Nguyên vật liệu</t>
        </is>
      </c>
      <c r="G53" s="7" t="inlineStr">
        <is>
          <t>⭐ Đầu ngành</t>
        </is>
      </c>
      <c r="H53" s="15" t="n">
        <v>3364255</v>
      </c>
      <c r="I53" s="16" t="n">
        <v>33050</v>
      </c>
      <c r="J53" s="23" t="inlineStr">
        <is>
          <t>Tiền mặt hàng năm</t>
        </is>
      </c>
      <c r="K53" s="11" t="inlineStr">
        <is>
          <t>Hàng năm</t>
        </is>
      </c>
      <c r="L53" s="13" t="inlineStr">
        <is>
          <t>Không</t>
        </is>
      </c>
      <c r="M53" s="14" t="inlineStr">
        <is>
          <t>2026, 2025, 2024, 2023, 2022, 2021, 2020, 2019</t>
        </is>
      </c>
      <c r="N53" s="14" t="inlineStr">
        <is>
          <t>-</t>
        </is>
      </c>
      <c r="O53" s="14" t="inlineStr">
        <is>
          <t>Tiền mặt hàng năm (2026, 2025, 2024, 2023, 2022, 2021, 2020, 2019)</t>
        </is>
      </c>
    </row>
    <row r="54" ht="22" customHeight="1">
      <c r="A54" s="4" t="n">
        <v>51</v>
      </c>
      <c r="B54" s="22" t="inlineStr">
        <is>
          <t>GVR</t>
        </is>
      </c>
      <c r="C54" s="4" t="inlineStr">
        <is>
          <t>HOSE</t>
        </is>
      </c>
      <c r="D54" s="6" t="inlineStr">
        <is>
          <t>Tập đoàn Công nghiệp Cao su Việt Nam - CTCP</t>
        </is>
      </c>
      <c r="E54" s="6" t="inlineStr">
        <is>
          <t>Hóa chất</t>
        </is>
      </c>
      <c r="F54" s="6" t="inlineStr">
        <is>
          <t>Nguyên vật liệu</t>
        </is>
      </c>
      <c r="G54" s="7" t="inlineStr">
        <is>
          <t>⭐ Đầu ngành</t>
        </is>
      </c>
      <c r="H54" s="8" t="n">
        <v>2230660</v>
      </c>
      <c r="I54" s="9" t="n">
        <v>31900</v>
      </c>
      <c r="J54" s="27" t="inlineStr">
        <is>
          <t>Tiền mặt hàng năm</t>
        </is>
      </c>
      <c r="K54" s="11" t="inlineStr">
        <is>
          <t>Hàng năm</t>
        </is>
      </c>
      <c r="L54" s="4" t="inlineStr">
        <is>
          <t>Không</t>
        </is>
      </c>
      <c r="M54" s="6" t="inlineStr">
        <is>
          <t>2025, 2024, 2023, 2022, 2021, 2020, 2019</t>
        </is>
      </c>
      <c r="N54" s="6" t="inlineStr">
        <is>
          <t>-</t>
        </is>
      </c>
      <c r="O54" s="6" t="inlineStr">
        <is>
          <t>Tiền mặt hàng năm (2025, 2024, 2023, 2022, 2021, 2020, 2019)</t>
        </is>
      </c>
    </row>
    <row r="55" ht="22" customHeight="1">
      <c r="A55" s="13" t="n">
        <v>52</v>
      </c>
      <c r="B55" s="5" t="inlineStr">
        <is>
          <t>AAA</t>
        </is>
      </c>
      <c r="C55" s="13" t="inlineStr">
        <is>
          <t>HOSE</t>
        </is>
      </c>
      <c r="D55" s="14" t="inlineStr">
        <is>
          <t>CTCP Nhựa An Phát Xanh</t>
        </is>
      </c>
      <c r="E55" s="14" t="inlineStr">
        <is>
          <t>Hóa chất</t>
        </is>
      </c>
      <c r="F55" s="14" t="inlineStr">
        <is>
          <t>Nguyên vật liệu</t>
        </is>
      </c>
      <c r="G55" s="7" t="inlineStr">
        <is>
          <t>⭐ Đầu ngành</t>
        </is>
      </c>
      <c r="H55" s="15" t="n">
        <v>1543860</v>
      </c>
      <c r="I55" s="16" t="n">
        <v>7260</v>
      </c>
      <c r="J55" s="17" t="inlineStr">
        <is>
          <t>Cả tiền mặt &amp; cổ phiếu</t>
        </is>
      </c>
      <c r="K55" s="11" t="inlineStr">
        <is>
          <t>Hàng năm</t>
        </is>
      </c>
      <c r="L55" s="12" t="inlineStr">
        <is>
          <t>Có</t>
        </is>
      </c>
      <c r="M55" s="14" t="inlineStr">
        <is>
          <t>2026, 2025, 2021, 2020, 2019, 2018, 2017, 2016</t>
        </is>
      </c>
      <c r="N55" s="14" t="inlineStr">
        <is>
          <t>2022, 2021, 2020, 2016, 2015</t>
        </is>
      </c>
      <c r="O55" s="14" t="inlineStr">
        <is>
          <t>Tiền mặt hàng năm (2026, 2025, 2021, 2020, 2019, 2018, 2017, 2016); Cổ tức CP (2022, 2021, 2020, 2016, 2015)</t>
        </is>
      </c>
    </row>
    <row r="56" ht="22" customHeight="1">
      <c r="A56" s="4" t="n">
        <v>53</v>
      </c>
      <c r="B56" s="5" t="inlineStr">
        <is>
          <t>DGC</t>
        </is>
      </c>
      <c r="C56" s="4" t="inlineStr">
        <is>
          <t>HOSE</t>
        </is>
      </c>
      <c r="D56" s="6" t="inlineStr">
        <is>
          <t>CTCP Tập đoàn Hóa chất Đức Giang</t>
        </is>
      </c>
      <c r="E56" s="6" t="inlineStr">
        <is>
          <t>Hóa chất</t>
        </is>
      </c>
      <c r="F56" s="6" t="inlineStr">
        <is>
          <t>Nguyên vật liệu</t>
        </is>
      </c>
      <c r="G56" s="7" t="inlineStr">
        <is>
          <t>⭐ Đầu ngành</t>
        </is>
      </c>
      <c r="H56" s="8" t="n">
        <v>886710</v>
      </c>
      <c r="I56" s="9" t="n">
        <v>35950</v>
      </c>
      <c r="J56" s="10" t="inlineStr">
        <is>
          <t>Cả tiền mặt &amp; cổ phiếu</t>
        </is>
      </c>
      <c r="K56" s="11" t="inlineStr">
        <is>
          <t>Hàng năm</t>
        </is>
      </c>
      <c r="L56" s="12" t="inlineStr">
        <is>
          <t>Có</t>
        </is>
      </c>
      <c r="M56" s="6" t="inlineStr">
        <is>
          <t>2026, 2025, 2024, 2023, 2022, 2021, 2020, 2019</t>
        </is>
      </c>
      <c r="N56" s="6" t="inlineStr">
        <is>
          <t>2022, 2021, 2020, 2019, 2016, 2015</t>
        </is>
      </c>
      <c r="O56" s="6" t="inlineStr">
        <is>
          <t>Tiền mặt hàng năm (2026, 2025, 2024, 2023, 2022, 2021, 2020, 2019); Cổ tức CP (2022, 2021, 2020, 2019, 2016, 2015)</t>
        </is>
      </c>
    </row>
    <row r="57" ht="22" customHeight="1">
      <c r="A57" s="13" t="n">
        <v>54</v>
      </c>
      <c r="B57" s="5" t="inlineStr">
        <is>
          <t>CSV</t>
        </is>
      </c>
      <c r="C57" s="13" t="inlineStr">
        <is>
          <t>HOSE</t>
        </is>
      </c>
      <c r="D57" s="14" t="inlineStr">
        <is>
          <t>CTCP Hóa chất Cơ bản Miền Nam</t>
        </is>
      </c>
      <c r="E57" s="14" t="inlineStr">
        <is>
          <t>Hóa chất</t>
        </is>
      </c>
      <c r="F57" s="14" t="inlineStr">
        <is>
          <t>Nguyên vật liệu</t>
        </is>
      </c>
      <c r="G57" s="7" t="inlineStr">
        <is>
          <t>⭐ Đầu ngành</t>
        </is>
      </c>
      <c r="H57" s="15" t="n">
        <v>239425</v>
      </c>
      <c r="I57" s="16" t="n">
        <v>20900</v>
      </c>
      <c r="J57" s="17" t="inlineStr">
        <is>
          <t>Cả tiền mặt &amp; cổ phiếu</t>
        </is>
      </c>
      <c r="K57" s="11" t="inlineStr">
        <is>
          <t>Hàng năm</t>
        </is>
      </c>
      <c r="L57" s="12" t="inlineStr">
        <is>
          <t>Có</t>
        </is>
      </c>
      <c r="M57" s="14" t="inlineStr">
        <is>
          <t>2025, 2024, 2023, 2022, 2021, 2020, 2019, 2018</t>
        </is>
      </c>
      <c r="N57" s="14" t="inlineStr">
        <is>
          <t>2024</t>
        </is>
      </c>
      <c r="O57" s="14" t="inlineStr">
        <is>
          <t>Tiền mặt hàng năm (2025, 2024, 2023, 2022, 2021, 2020, 2019, 2018); Cổ tức CP (2024)</t>
        </is>
      </c>
    </row>
    <row r="58" ht="22" customHeight="1">
      <c r="A58" s="4" t="n">
        <v>55</v>
      </c>
      <c r="B58" s="5" t="inlineStr">
        <is>
          <t>SHB</t>
        </is>
      </c>
      <c r="C58" s="4" t="inlineStr">
        <is>
          <t>HOSE</t>
        </is>
      </c>
      <c r="D58" s="6" t="inlineStr">
        <is>
          <t>Ngân hàng TMCP Sài Gòn - Hà Nội</t>
        </is>
      </c>
      <c r="E58" s="6" t="inlineStr">
        <is>
          <t>Ngân hàng</t>
        </is>
      </c>
      <c r="F58" s="6" t="inlineStr">
        <is>
          <t>Ngân hàng</t>
        </is>
      </c>
      <c r="G58" s="7" t="inlineStr">
        <is>
          <t>⭐ Đầu ngành</t>
        </is>
      </c>
      <c r="H58" s="8" t="n">
        <v>46761180.4</v>
      </c>
      <c r="I58" s="9" t="n">
        <v>11800</v>
      </c>
      <c r="J58" s="10" t="inlineStr">
        <is>
          <t>Cả tiền mặt &amp; cổ phiếu</t>
        </is>
      </c>
      <c r="K58" s="11" t="inlineStr">
        <is>
          <t>Hàng năm</t>
        </is>
      </c>
      <c r="L58" s="12" t="inlineStr">
        <is>
          <t>Có</t>
        </is>
      </c>
      <c r="M58" s="6" t="inlineStr">
        <is>
          <t>2025, 2024, 2014, 2010, 2009</t>
        </is>
      </c>
      <c r="N58" s="6" t="inlineStr">
        <is>
          <t>2025, 2023, 2022, 2021, 2020, 2018, 2016, 2015</t>
        </is>
      </c>
      <c r="O58" s="6" t="inlineStr">
        <is>
          <t>Tiền mặt hàng năm (2025, 2024, 2014, 2010, 2009); Cổ tức CP (2025, 2023, 2022, 2021, 2020, 2018, 2016, 2015)</t>
        </is>
      </c>
    </row>
    <row r="59" ht="22" customHeight="1">
      <c r="A59" s="13" t="n">
        <v>56</v>
      </c>
      <c r="B59" s="5" t="inlineStr">
        <is>
          <t>VPB</t>
        </is>
      </c>
      <c r="C59" s="13" t="inlineStr">
        <is>
          <t>HOSE</t>
        </is>
      </c>
      <c r="D59" s="14" t="inlineStr">
        <is>
          <t>Ngân hàng TMCP Việt Nam Thịnh Vượng</t>
        </is>
      </c>
      <c r="E59" s="14" t="inlineStr">
        <is>
          <t>Ngân hàng</t>
        </is>
      </c>
      <c r="F59" s="14" t="inlineStr">
        <is>
          <t>Ngân hàng</t>
        </is>
      </c>
      <c r="G59" s="7" t="inlineStr">
        <is>
          <t>⭐ Đầu ngành</t>
        </is>
      </c>
      <c r="H59" s="15" t="n">
        <v>20464660</v>
      </c>
      <c r="I59" s="16" t="n">
        <v>27450</v>
      </c>
      <c r="J59" s="17" t="inlineStr">
        <is>
          <t>Cả tiền mặt &amp; cổ phiếu</t>
        </is>
      </c>
      <c r="K59" s="11" t="inlineStr">
        <is>
          <t>Hàng năm</t>
        </is>
      </c>
      <c r="L59" s="12" t="inlineStr">
        <is>
          <t>Có</t>
        </is>
      </c>
      <c r="M59" s="14" t="inlineStr">
        <is>
          <t>2026, 2025, 2024, 2023</t>
        </is>
      </c>
      <c r="N59" s="14" t="inlineStr">
        <is>
          <t>2022, 2021, 2018, 2017, 2016, 2015, 2014</t>
        </is>
      </c>
      <c r="O59" s="14" t="inlineStr">
        <is>
          <t>Tiền mặt hàng năm (2026, 2025, 2024, 2023); Cổ tức CP (2022, 2021, 2018, 2017, 2016, 2015, 2014)</t>
        </is>
      </c>
    </row>
    <row r="60" ht="22" customHeight="1">
      <c r="A60" s="4" t="n">
        <v>57</v>
      </c>
      <c r="B60" s="5" t="inlineStr">
        <is>
          <t>TCB</t>
        </is>
      </c>
      <c r="C60" s="4" t="inlineStr">
        <is>
          <t>HOSE</t>
        </is>
      </c>
      <c r="D60" s="6" t="inlineStr">
        <is>
          <t>Ngân hàng TMCP Kỹ thương Việt Nam</t>
        </is>
      </c>
      <c r="E60" s="6" t="inlineStr">
        <is>
          <t>Ngân hàng</t>
        </is>
      </c>
      <c r="F60" s="6" t="inlineStr">
        <is>
          <t>Ngân hàng</t>
        </is>
      </c>
      <c r="G60" s="7" t="inlineStr">
        <is>
          <t>⭐ Đầu ngành</t>
        </is>
      </c>
      <c r="H60" s="8" t="n">
        <v>14780900</v>
      </c>
      <c r="I60" s="9" t="n">
        <v>31600</v>
      </c>
      <c r="J60" s="10" t="inlineStr">
        <is>
          <t>Cả tiền mặt &amp; cổ phiếu</t>
        </is>
      </c>
      <c r="K60" s="11" t="inlineStr">
        <is>
          <t>Hàng năm</t>
        </is>
      </c>
      <c r="L60" s="12" t="inlineStr">
        <is>
          <t>Có</t>
        </is>
      </c>
      <c r="M60" s="6" t="inlineStr">
        <is>
          <t>2026, 2025, 2024</t>
        </is>
      </c>
      <c r="N60" s="6" t="inlineStr">
        <is>
          <t>2024, 2018</t>
        </is>
      </c>
      <c r="O60" s="6" t="inlineStr">
        <is>
          <t>Tiền mặt hàng năm (2026, 2025, 2024); Cổ tức CP (2024, 2018)</t>
        </is>
      </c>
    </row>
    <row r="61" ht="22" customHeight="1">
      <c r="A61" s="13" t="n">
        <v>58</v>
      </c>
      <c r="B61" s="5" t="inlineStr">
        <is>
          <t>MBB</t>
        </is>
      </c>
      <c r="C61" s="13" t="inlineStr">
        <is>
          <t>HOSE</t>
        </is>
      </c>
      <c r="D61" s="14" t="inlineStr">
        <is>
          <t>Ngân hàng TMCP Quân đội</t>
        </is>
      </c>
      <c r="E61" s="14" t="inlineStr">
        <is>
          <t>Ngân hàng</t>
        </is>
      </c>
      <c r="F61" s="14" t="inlineStr">
        <is>
          <t>Ngân hàng</t>
        </is>
      </c>
      <c r="G61" s="7" t="inlineStr">
        <is>
          <t>⭐ Đầu ngành</t>
        </is>
      </c>
      <c r="H61" s="15" t="n">
        <v>12110075</v>
      </c>
      <c r="I61" s="16" t="n">
        <v>19900</v>
      </c>
      <c r="J61" s="17" t="inlineStr">
        <is>
          <t>Cả tiền mặt &amp; cổ phiếu</t>
        </is>
      </c>
      <c r="K61" s="11" t="inlineStr">
        <is>
          <t>Hàng năm</t>
        </is>
      </c>
      <c r="L61" s="12" t="inlineStr">
        <is>
          <t>Có</t>
        </is>
      </c>
      <c r="M61" s="14" t="inlineStr">
        <is>
          <t>2026, 2025, 2024, 2023, 2019, 2018, 2017, 2015</t>
        </is>
      </c>
      <c r="N61" s="14" t="inlineStr">
        <is>
          <t>2026, 2025, 2023, 2022, 2021, 2020, 2019, 2018</t>
        </is>
      </c>
      <c r="O61" s="14" t="inlineStr">
        <is>
          <t>Tiền mặt hàng năm (2026, 2025, 2024, 2023, 2019, 2018, 2017, 2015); Cổ tức CP (2026, 2025, 2023, 2022, 2021, 2020, 2019, 2018)</t>
        </is>
      </c>
    </row>
    <row r="62" ht="22" customHeight="1">
      <c r="A62" s="4" t="n">
        <v>59</v>
      </c>
      <c r="B62" s="5" t="inlineStr">
        <is>
          <t>HDB</t>
        </is>
      </c>
      <c r="C62" s="4" t="inlineStr">
        <is>
          <t>HOSE</t>
        </is>
      </c>
      <c r="D62" s="6" t="inlineStr">
        <is>
          <t>Ngân hàng TMCP Phát triển Thành phố Hồ Chí Minh</t>
        </is>
      </c>
      <c r="E62" s="6" t="inlineStr">
        <is>
          <t>Ngân hàng</t>
        </is>
      </c>
      <c r="F62" s="6" t="inlineStr">
        <is>
          <t>Ngân hàng</t>
        </is>
      </c>
      <c r="G62" s="7" t="inlineStr">
        <is>
          <t>⭐ Đầu ngành</t>
        </is>
      </c>
      <c r="H62" s="8" t="n">
        <v>10979560</v>
      </c>
      <c r="I62" s="9" t="n">
        <v>27500</v>
      </c>
      <c r="J62" s="10" t="inlineStr">
        <is>
          <t>Cả tiền mặt &amp; cổ phiếu</t>
        </is>
      </c>
      <c r="K62" s="11" t="inlineStr">
        <is>
          <t>Hàng năm</t>
        </is>
      </c>
      <c r="L62" s="12" t="inlineStr">
        <is>
          <t>Có</t>
        </is>
      </c>
      <c r="M62" s="6" t="inlineStr">
        <is>
          <t>2024, 2023, 2018, 2013</t>
        </is>
      </c>
      <c r="N62" s="6" t="inlineStr">
        <is>
          <t>2025, 2024, 2023, 2022, 2021, 2020</t>
        </is>
      </c>
      <c r="O62" s="6" t="inlineStr">
        <is>
          <t>Tiền mặt hàng năm (2024, 2023, 2018, 2013); Cổ tức CP (2025, 2024, 2023, 2022, 2021, 2020)</t>
        </is>
      </c>
    </row>
    <row r="63" ht="22" customHeight="1">
      <c r="A63" s="13" t="n">
        <v>60</v>
      </c>
      <c r="B63" s="5" t="inlineStr">
        <is>
          <t>CTG</t>
        </is>
      </c>
      <c r="C63" s="13" t="inlineStr">
        <is>
          <t>HOSE</t>
        </is>
      </c>
      <c r="D63" s="14" t="inlineStr">
        <is>
          <t>Ngân hàng TMCP Công Thương Việt Nam</t>
        </is>
      </c>
      <c r="E63" s="14" t="inlineStr">
        <is>
          <t>Ngân hàng</t>
        </is>
      </c>
      <c r="F63" s="14" t="inlineStr">
        <is>
          <t>Ngân hàng</t>
        </is>
      </c>
      <c r="G63" s="7" t="inlineStr">
        <is>
          <t>⭐ Đầu ngành</t>
        </is>
      </c>
      <c r="H63" s="15" t="n">
        <v>7542790</v>
      </c>
      <c r="I63" s="16" t="n">
        <v>30250</v>
      </c>
      <c r="J63" s="17" t="inlineStr">
        <is>
          <t>Cả tiền mặt &amp; cổ phiếu</t>
        </is>
      </c>
      <c r="K63" s="11" t="inlineStr">
        <is>
          <t>Hàng năm</t>
        </is>
      </c>
      <c r="L63" s="12" t="inlineStr">
        <is>
          <t>Có</t>
        </is>
      </c>
      <c r="M63" s="14" t="inlineStr">
        <is>
          <t>2026, 2025, 2021, 2020, 2017, 2015, 2014, 2013</t>
        </is>
      </c>
      <c r="N63" s="14" t="inlineStr">
        <is>
          <t>2025, 2023, 2021, 2012</t>
        </is>
      </c>
      <c r="O63" s="14" t="inlineStr">
        <is>
          <t>Tiền mặt hàng năm (2026, 2025, 2021, 2020, 2017, 2015, 2014, 2013); Cổ tức CP (2025, 2023, 2021, 2012)</t>
        </is>
      </c>
    </row>
    <row r="64" ht="22" customHeight="1">
      <c r="A64" s="4" t="n">
        <v>61</v>
      </c>
      <c r="B64" s="5" t="inlineStr">
        <is>
          <t>ACB</t>
        </is>
      </c>
      <c r="C64" s="4" t="inlineStr">
        <is>
          <t>HOSE</t>
        </is>
      </c>
      <c r="D64" s="6" t="inlineStr">
        <is>
          <t>Ngân hàng TMCP Á Châu</t>
        </is>
      </c>
      <c r="E64" s="6" t="inlineStr">
        <is>
          <t>Ngân hàng</t>
        </is>
      </c>
      <c r="F64" s="6" t="inlineStr">
        <is>
          <t>Ngân hàng</t>
        </is>
      </c>
      <c r="G64" s="7" t="inlineStr">
        <is>
          <t>⭐ Đầu ngành</t>
        </is>
      </c>
      <c r="H64" s="8" t="n">
        <v>7304600</v>
      </c>
      <c r="I64" s="9" t="n">
        <v>21900</v>
      </c>
      <c r="J64" s="10" t="inlineStr">
        <is>
          <t>Cả tiền mặt &amp; cổ phiếu</t>
        </is>
      </c>
      <c r="K64" s="11" t="inlineStr">
        <is>
          <t>Hàng năm</t>
        </is>
      </c>
      <c r="L64" s="12" t="inlineStr">
        <is>
          <t>Có</t>
        </is>
      </c>
      <c r="M64" s="6" t="inlineStr">
        <is>
          <t>2026, 2025, 2024, 2023, 2015, 2014, 2012, 2011</t>
        </is>
      </c>
      <c r="N64" s="6" t="inlineStr">
        <is>
          <t>2026, 2025, 2024, 2023, 2022, 2021, 2020, 2019</t>
        </is>
      </c>
      <c r="O64" s="6" t="inlineStr">
        <is>
          <t>Tiền mặt hàng năm (2026, 2025, 2024, 2023, 2015, 2014, 2012, 2011); Cổ tức CP (2026, 2025, 2024, 2023, 2022, 2021, 2020, 2019)</t>
        </is>
      </c>
    </row>
    <row r="65" ht="22" customHeight="1">
      <c r="A65" s="13" t="n">
        <v>62</v>
      </c>
      <c r="B65" s="5" t="inlineStr">
        <is>
          <t>VCB</t>
        </is>
      </c>
      <c r="C65" s="13" t="inlineStr">
        <is>
          <t>HOSE</t>
        </is>
      </c>
      <c r="D65" s="14" t="inlineStr">
        <is>
          <t>Ngân hàng TMCP Ngoại thương Việt Nam</t>
        </is>
      </c>
      <c r="E65" s="14" t="inlineStr">
        <is>
          <t>Ngân hàng</t>
        </is>
      </c>
      <c r="F65" s="14" t="inlineStr">
        <is>
          <t>Ngân hàng</t>
        </is>
      </c>
      <c r="G65" s="7" t="inlineStr">
        <is>
          <t>⭐ Đầu ngành</t>
        </is>
      </c>
      <c r="H65" s="15" t="n">
        <v>5172850</v>
      </c>
      <c r="I65" s="16" t="n">
        <v>59900</v>
      </c>
      <c r="J65" s="17" t="inlineStr">
        <is>
          <t>Cả tiền mặt &amp; cổ phiếu</t>
        </is>
      </c>
      <c r="K65" s="11" t="inlineStr">
        <is>
          <t>Hàng năm</t>
        </is>
      </c>
      <c r="L65" s="12" t="inlineStr">
        <is>
          <t>Có</t>
        </is>
      </c>
      <c r="M65" s="14" t="inlineStr">
        <is>
          <t>2026, 2025, 2021, 2020, 2019, 2017, 2016, 2015</t>
        </is>
      </c>
      <c r="N65" s="14" t="inlineStr">
        <is>
          <t>2025, 2023, 2021, 2016, 2014</t>
        </is>
      </c>
      <c r="O65" s="14" t="inlineStr">
        <is>
          <t>Tiền mặt hàng năm (2026, 2025, 2021, 2020, 2019, 2017, 2016, 2015); Cổ tức CP (2025, 2023, 2021, 2016, 2014)</t>
        </is>
      </c>
    </row>
    <row r="66" ht="22" customHeight="1">
      <c r="A66" s="4" t="n">
        <v>63</v>
      </c>
      <c r="B66" s="5" t="inlineStr">
        <is>
          <t>BID</t>
        </is>
      </c>
      <c r="C66" s="4" t="inlineStr">
        <is>
          <t>HOSE</t>
        </is>
      </c>
      <c r="D66" s="6" t="inlineStr">
        <is>
          <t>Ngân hàng TMCP Đầu tư và Phát triển Việt Nam</t>
        </is>
      </c>
      <c r="E66" s="6" t="inlineStr">
        <is>
          <t>Ngân hàng</t>
        </is>
      </c>
      <c r="F66" s="6" t="inlineStr">
        <is>
          <t>Ngân hàng</t>
        </is>
      </c>
      <c r="G66" s="7" t="inlineStr">
        <is>
          <t>⭐ Đầu ngành</t>
        </is>
      </c>
      <c r="H66" s="8" t="n">
        <v>3709745</v>
      </c>
      <c r="I66" s="9" t="n">
        <v>35750</v>
      </c>
      <c r="J66" s="10" t="inlineStr">
        <is>
          <t>Cả tiền mặt &amp; cổ phiếu</t>
        </is>
      </c>
      <c r="K66" s="11" t="inlineStr">
        <is>
          <t>Hàng năm</t>
        </is>
      </c>
      <c r="L66" s="12" t="inlineStr">
        <is>
          <t>Có</t>
        </is>
      </c>
      <c r="M66" s="6" t="inlineStr">
        <is>
          <t>2026, 2025, 2021, 2020, 2019, 2017, 2016, 2015</t>
        </is>
      </c>
      <c r="N66" s="6" t="inlineStr">
        <is>
          <t>2026, 2024, 2023, 2021, 2015</t>
        </is>
      </c>
      <c r="O66" s="6" t="inlineStr">
        <is>
          <t>Tiền mặt hàng năm (2026, 2025, 2021, 2020, 2019, 2017, 2016, 2015); Cổ tức CP (2026, 2024, 2023, 2021, 2015)</t>
        </is>
      </c>
    </row>
    <row r="67" ht="22" customHeight="1">
      <c r="A67" s="13" t="n">
        <v>64</v>
      </c>
      <c r="B67" s="20" t="inlineStr">
        <is>
          <t>STB</t>
        </is>
      </c>
      <c r="C67" s="13" t="inlineStr">
        <is>
          <t>HOSE</t>
        </is>
      </c>
      <c r="D67" s="14" t="inlineStr">
        <is>
          <t>Ngân hàng TMCP Sài Gòn Tài Lộc</t>
        </is>
      </c>
      <c r="E67" s="14" t="inlineStr">
        <is>
          <t>Ngân hàng</t>
        </is>
      </c>
      <c r="F67" s="14" t="inlineStr">
        <is>
          <t>Ngân hàng</t>
        </is>
      </c>
      <c r="G67" s="7" t="inlineStr">
        <is>
          <t>⭐ Đầu ngành</t>
        </is>
      </c>
      <c r="H67" s="15" t="n">
        <v>3571900</v>
      </c>
      <c r="I67" s="16" t="n">
        <v>78200</v>
      </c>
      <c r="J67" s="21" t="inlineStr">
        <is>
          <t>Cổ tức cổ phiếu</t>
        </is>
      </c>
      <c r="K67" s="13" t="inlineStr">
        <is>
          <t>Có</t>
        </is>
      </c>
      <c r="L67" s="12" t="inlineStr">
        <is>
          <t>Có</t>
        </is>
      </c>
      <c r="M67" s="14" t="inlineStr">
        <is>
          <t>2013, 2011</t>
        </is>
      </c>
      <c r="N67" s="14" t="inlineStr">
        <is>
          <t>2015</t>
        </is>
      </c>
      <c r="O67" s="14" t="inlineStr">
        <is>
          <t>Tiền mặt (2013, 2011); Cổ tức CP (2015)</t>
        </is>
      </c>
    </row>
    <row r="68" ht="22" customHeight="1">
      <c r="A68" s="4" t="n">
        <v>65</v>
      </c>
      <c r="B68" s="5" t="inlineStr">
        <is>
          <t>MSN</t>
        </is>
      </c>
      <c r="C68" s="4" t="inlineStr">
        <is>
          <t>HOSE</t>
        </is>
      </c>
      <c r="D68" s="6" t="inlineStr">
        <is>
          <t>CTCP Tập đoàn Masan</t>
        </is>
      </c>
      <c r="E68" s="6" t="inlineStr">
        <is>
          <t>Thực phẩm và đồ uống</t>
        </is>
      </c>
      <c r="F68" s="6" t="inlineStr">
        <is>
          <t>Hàng Tiêu dùng</t>
        </is>
      </c>
      <c r="G68" s="7" t="inlineStr">
        <is>
          <t>⭐ Đầu ngành</t>
        </is>
      </c>
      <c r="H68" s="8" t="n">
        <v>4208235</v>
      </c>
      <c r="I68" s="9" t="n">
        <v>68400</v>
      </c>
      <c r="J68" s="10" t="inlineStr">
        <is>
          <t>Cả tiền mặt &amp; cổ phiếu</t>
        </is>
      </c>
      <c r="K68" s="11" t="inlineStr">
        <is>
          <t>Hàng năm</t>
        </is>
      </c>
      <c r="L68" s="12" t="inlineStr">
        <is>
          <t>Có</t>
        </is>
      </c>
      <c r="M68" s="6" t="inlineStr">
        <is>
          <t>2022, 2021, 2020, 2017</t>
        </is>
      </c>
      <c r="N68" s="6" t="inlineStr">
        <is>
          <t>2022, 2017</t>
        </is>
      </c>
      <c r="O68" s="6" t="inlineStr">
        <is>
          <t>Tiền mặt hàng năm (2022, 2021, 2020, 2017); Cổ tức CP (2022, 2017)</t>
        </is>
      </c>
    </row>
    <row r="69" ht="22" customHeight="1">
      <c r="A69" s="13" t="n">
        <v>66</v>
      </c>
      <c r="B69" s="5" t="inlineStr">
        <is>
          <t>VNM</t>
        </is>
      </c>
      <c r="C69" s="13" t="inlineStr">
        <is>
          <t>HOSE</t>
        </is>
      </c>
      <c r="D69" s="14" t="inlineStr">
        <is>
          <t>CTCP Sữa Việt Nam</t>
        </is>
      </c>
      <c r="E69" s="14" t="inlineStr">
        <is>
          <t>Thực phẩm và đồ uống</t>
        </is>
      </c>
      <c r="F69" s="14" t="inlineStr">
        <is>
          <t>Hàng Tiêu dùng</t>
        </is>
      </c>
      <c r="G69" s="7" t="inlineStr">
        <is>
          <t>⭐ Đầu ngành</t>
        </is>
      </c>
      <c r="H69" s="15" t="n">
        <v>3067190</v>
      </c>
      <c r="I69" s="16" t="n">
        <v>61200</v>
      </c>
      <c r="J69" s="17" t="inlineStr">
        <is>
          <t>Cả tiền mặt &amp; cổ phiếu</t>
        </is>
      </c>
      <c r="K69" s="11" t="inlineStr">
        <is>
          <t>Hàng năm</t>
        </is>
      </c>
      <c r="L69" s="12" t="inlineStr">
        <is>
          <t>Có</t>
        </is>
      </c>
      <c r="M69" s="14" t="inlineStr">
        <is>
          <t>2026, 2025, 2024, 2023, 2022, 2021, 2020, 2019</t>
        </is>
      </c>
      <c r="N69" s="14" t="inlineStr">
        <is>
          <t>2020, 2018, 2016, 2015, 2014, 2012, 2011</t>
        </is>
      </c>
      <c r="O69" s="14" t="inlineStr">
        <is>
          <t>Tiền mặt hàng năm (2026, 2025, 2024, 2023, 2022, 2021, 2020, 2019); Cổ tức CP (2020, 2018, 2016, 2015, 2014, 2012, 2011)</t>
        </is>
      </c>
    </row>
    <row r="70" ht="22" customHeight="1">
      <c r="A70" s="4" t="n">
        <v>67</v>
      </c>
      <c r="B70" s="20" t="inlineStr">
        <is>
          <t>BAF</t>
        </is>
      </c>
      <c r="C70" s="4" t="inlineStr">
        <is>
          <t>HOSE</t>
        </is>
      </c>
      <c r="D70" s="6" t="inlineStr">
        <is>
          <t>CTCP Nông nghiệp BAF Việt Nam</t>
        </is>
      </c>
      <c r="E70" s="6" t="inlineStr">
        <is>
          <t>Thực phẩm và đồ uống</t>
        </is>
      </c>
      <c r="F70" s="6" t="inlineStr">
        <is>
          <t>Hàng Tiêu dùng</t>
        </is>
      </c>
      <c r="G70" s="7" t="inlineStr">
        <is>
          <t>⭐ Đầu ngành</t>
        </is>
      </c>
      <c r="H70" s="8" t="n">
        <v>1926725</v>
      </c>
      <c r="I70" s="9" t="n">
        <v>32050</v>
      </c>
      <c r="J70" s="24" t="inlineStr">
        <is>
          <t>Cổ tức cổ phiếu</t>
        </is>
      </c>
      <c r="K70" s="4" t="inlineStr">
        <is>
          <t>Có</t>
        </is>
      </c>
      <c r="L70" s="12" t="inlineStr">
        <is>
          <t>Có</t>
        </is>
      </c>
      <c r="M70" s="6" t="inlineStr">
        <is>
          <t>2022</t>
        </is>
      </c>
      <c r="N70" s="6" t="inlineStr">
        <is>
          <t>2026, 2024, 2022</t>
        </is>
      </c>
      <c r="O70" s="6" t="inlineStr">
        <is>
          <t>Tiền mặt (2022); Cổ tức CP (2026, 2024, 2022)</t>
        </is>
      </c>
    </row>
    <row r="71" ht="22" customHeight="1">
      <c r="A71" s="13" t="n">
        <v>68</v>
      </c>
      <c r="B71" s="5" t="inlineStr">
        <is>
          <t>DBC</t>
        </is>
      </c>
      <c r="C71" s="13" t="inlineStr">
        <is>
          <t>HOSE</t>
        </is>
      </c>
      <c r="D71" s="14" t="inlineStr">
        <is>
          <t>CTCP Tập đoàn Dabaco Việt Nam</t>
        </is>
      </c>
      <c r="E71" s="14" t="inlineStr">
        <is>
          <t>Thực phẩm và đồ uống</t>
        </is>
      </c>
      <c r="F71" s="14" t="inlineStr">
        <is>
          <t>Hàng Tiêu dùng</t>
        </is>
      </c>
      <c r="G71" s="7" t="inlineStr">
        <is>
          <t>⭐ Đầu ngành</t>
        </is>
      </c>
      <c r="H71" s="15" t="n">
        <v>1692050</v>
      </c>
      <c r="I71" s="16" t="n">
        <v>16050</v>
      </c>
      <c r="J71" s="17" t="inlineStr">
        <is>
          <t>Cả tiền mặt &amp; cổ phiếu</t>
        </is>
      </c>
      <c r="K71" s="11" t="inlineStr">
        <is>
          <t>Hàng năm</t>
        </is>
      </c>
      <c r="L71" s="12" t="inlineStr">
        <is>
          <t>Có</t>
        </is>
      </c>
      <c r="M71" s="14" t="inlineStr">
        <is>
          <t>2026, 2021, 2020, 2018, 2016, 2015, 2014, 2013</t>
        </is>
      </c>
      <c r="N71" s="14" t="inlineStr">
        <is>
          <t>2026, 2025, 2022, 2021, 2020, 2019, 2017, 2016</t>
        </is>
      </c>
      <c r="O71" s="14" t="inlineStr">
        <is>
          <t>Tiền mặt hàng năm (2026, 2021, 2020, 2018, 2016, 2015, 2014, 2013); Cổ tức CP (2026, 2025, 2022, 2021, 2020, 2019, 2017, 2016)</t>
        </is>
      </c>
    </row>
    <row r="72" ht="22" customHeight="1">
      <c r="A72" s="4" t="n">
        <v>69</v>
      </c>
      <c r="B72" s="20" t="inlineStr">
        <is>
          <t>HAG</t>
        </is>
      </c>
      <c r="C72" s="4" t="inlineStr">
        <is>
          <t>HOSE</t>
        </is>
      </c>
      <c r="D72" s="6" t="inlineStr">
        <is>
          <t>CTCP Hoàng Anh Gia Lai</t>
        </is>
      </c>
      <c r="E72" s="6" t="inlineStr">
        <is>
          <t>Thực phẩm và đồ uống</t>
        </is>
      </c>
      <c r="F72" s="6" t="inlineStr">
        <is>
          <t>Hàng Tiêu dùng</t>
        </is>
      </c>
      <c r="G72" s="7" t="inlineStr">
        <is>
          <t>⭐ Đầu ngành</t>
        </is>
      </c>
      <c r="H72" s="8" t="n">
        <v>1603465</v>
      </c>
      <c r="I72" s="9" t="n">
        <v>14050</v>
      </c>
      <c r="J72" s="24" t="inlineStr">
        <is>
          <t>Cổ tức cổ phiếu</t>
        </is>
      </c>
      <c r="K72" s="4" t="inlineStr">
        <is>
          <t>Có</t>
        </is>
      </c>
      <c r="L72" s="12" t="inlineStr">
        <is>
          <t>Có</t>
        </is>
      </c>
      <c r="M72" s="6" t="inlineStr">
        <is>
          <t>2013, 2009</t>
        </is>
      </c>
      <c r="N72" s="6" t="inlineStr">
        <is>
          <t>2014, 2012, 2009</t>
        </is>
      </c>
      <c r="O72" s="6" t="inlineStr">
        <is>
          <t>Tiền mặt (2013, 2009); Cổ tức CP (2014, 2012, 2009)</t>
        </is>
      </c>
    </row>
    <row r="73" ht="22" customHeight="1">
      <c r="A73" s="13" t="n">
        <v>70</v>
      </c>
      <c r="B73" s="5" t="inlineStr">
        <is>
          <t>SAB</t>
        </is>
      </c>
      <c r="C73" s="13" t="inlineStr">
        <is>
          <t>HOSE</t>
        </is>
      </c>
      <c r="D73" s="14" t="inlineStr">
        <is>
          <t>Tổng Công ty cổ phần Bia - Rượu - Nước giải khát Sài Gòn</t>
        </is>
      </c>
      <c r="E73" s="14" t="inlineStr">
        <is>
          <t>Thực phẩm và đồ uống</t>
        </is>
      </c>
      <c r="F73" s="14" t="inlineStr">
        <is>
          <t>Hàng Tiêu dùng</t>
        </is>
      </c>
      <c r="G73" s="7" t="inlineStr">
        <is>
          <t>⭐ Đầu ngành</t>
        </is>
      </c>
      <c r="H73" s="15" t="n">
        <v>583690</v>
      </c>
      <c r="I73" s="16" t="n">
        <v>44300</v>
      </c>
      <c r="J73" s="17" t="inlineStr">
        <is>
          <t>Cả tiền mặt &amp; cổ phiếu</t>
        </is>
      </c>
      <c r="K73" s="11" t="inlineStr">
        <is>
          <t>Hàng năm</t>
        </is>
      </c>
      <c r="L73" s="12" t="inlineStr">
        <is>
          <t>Có</t>
        </is>
      </c>
      <c r="M73" s="14" t="inlineStr">
        <is>
          <t>2026, 2025, 2024, 2023, 2022, 2021, 2020, 2019</t>
        </is>
      </c>
      <c r="N73" s="14" t="inlineStr">
        <is>
          <t>2023</t>
        </is>
      </c>
      <c r="O73" s="14" t="inlineStr">
        <is>
          <t>Tiền mặt hàng năm (2026, 2025, 2024, 2023, 2022, 2021, 2020, 2019); Cổ tức CP (2023)</t>
        </is>
      </c>
    </row>
    <row r="74" ht="22" customHeight="1">
      <c r="A74" s="4" t="n">
        <v>71</v>
      </c>
      <c r="B74" s="5" t="inlineStr">
        <is>
          <t>QNS</t>
        </is>
      </c>
      <c r="C74" s="4" t="inlineStr">
        <is>
          <t>UPCOM</t>
        </is>
      </c>
      <c r="D74" s="6" t="inlineStr">
        <is>
          <t>CTCP Đường Quảng Ngãi</t>
        </is>
      </c>
      <c r="E74" s="6" t="inlineStr">
        <is>
          <t>Thực phẩm và đồ uống</t>
        </is>
      </c>
      <c r="F74" s="6" t="inlineStr">
        <is>
          <t>Hàng Tiêu dùng</t>
        </is>
      </c>
      <c r="G74" s="7" t="inlineStr">
        <is>
          <t>⭐ Đầu ngành</t>
        </is>
      </c>
      <c r="H74" s="8" t="n">
        <v>286910</v>
      </c>
      <c r="I74" s="9" t="n">
        <v>49800</v>
      </c>
      <c r="J74" s="10" t="inlineStr">
        <is>
          <t>Cả tiền mặt &amp; cổ phiếu</t>
        </is>
      </c>
      <c r="K74" s="11" t="inlineStr">
        <is>
          <t>Hàng năm</t>
        </is>
      </c>
      <c r="L74" s="12" t="inlineStr">
        <is>
          <t>Có</t>
        </is>
      </c>
      <c r="M74" s="6" t="inlineStr">
        <is>
          <t>2026, 2025, 2024, 2023, 2022, 2021, 2020, 2019</t>
        </is>
      </c>
      <c r="N74" s="6" t="inlineStr">
        <is>
          <t>2019, 2018, 2017</t>
        </is>
      </c>
      <c r="O74" s="6" t="inlineStr">
        <is>
          <t>Tiền mặt hàng năm (2026, 2025, 2024, 2023, 2022, 2021, 2020, 2019); Cổ tức CP (2019, 2018, 2017)</t>
        </is>
      </c>
    </row>
    <row r="75" ht="22" customHeight="1">
      <c r="A75" s="13" t="n">
        <v>72</v>
      </c>
      <c r="B75" s="20" t="inlineStr">
        <is>
          <t>YEG</t>
        </is>
      </c>
      <c r="C75" s="13" t="inlineStr">
        <is>
          <t>HOSE</t>
        </is>
      </c>
      <c r="D75" s="14" t="inlineStr">
        <is>
          <t>CTCP Tập đoàn Yeah1</t>
        </is>
      </c>
      <c r="E75" s="14" t="inlineStr">
        <is>
          <t>Truyền thông</t>
        </is>
      </c>
      <c r="F75" s="14" t="inlineStr">
        <is>
          <t>Dịch vụ Tiêu dùng</t>
        </is>
      </c>
      <c r="G75" s="7" t="inlineStr">
        <is>
          <t>⭐ Đầu ngành</t>
        </is>
      </c>
      <c r="H75" s="15" t="n">
        <v>458830</v>
      </c>
      <c r="I75" s="16" t="n">
        <v>7090</v>
      </c>
      <c r="J75" s="21" t="inlineStr">
        <is>
          <t>Cổ tức cổ phiếu</t>
        </is>
      </c>
      <c r="K75" s="13" t="inlineStr">
        <is>
          <t>Không</t>
        </is>
      </c>
      <c r="L75" s="12" t="inlineStr">
        <is>
          <t>Có</t>
        </is>
      </c>
      <c r="M75" s="14" t="inlineStr">
        <is>
          <t>-</t>
        </is>
      </c>
      <c r="N75" s="14" t="inlineStr">
        <is>
          <t>2026, 2023</t>
        </is>
      </c>
      <c r="O75" s="14" t="inlineStr">
        <is>
          <t>Cổ tức CP (2026, 2023)</t>
        </is>
      </c>
    </row>
    <row r="76" ht="22" customHeight="1">
      <c r="A76" s="4" t="n">
        <v>73</v>
      </c>
      <c r="B76" s="18" t="inlineStr">
        <is>
          <t>DST</t>
        </is>
      </c>
      <c r="C76" s="4" t="inlineStr">
        <is>
          <t>HNX</t>
        </is>
      </c>
      <c r="D76" s="6" t="inlineStr">
        <is>
          <t>CTCP Đầu tư Sao Thăng Long</t>
        </is>
      </c>
      <c r="E76" s="6" t="inlineStr">
        <is>
          <t>Truyền thông</t>
        </is>
      </c>
      <c r="F76" s="6" t="inlineStr">
        <is>
          <t>Dịch vụ Tiêu dùng</t>
        </is>
      </c>
      <c r="G76" s="7" t="inlineStr">
        <is>
          <t>⭐ Đầu ngành</t>
        </is>
      </c>
      <c r="H76" s="8" t="n">
        <v>145340</v>
      </c>
      <c r="I76" s="9" t="n">
        <v>8100</v>
      </c>
      <c r="J76" s="19" t="inlineStr">
        <is>
          <t>Tiền mặt không đều</t>
        </is>
      </c>
      <c r="K76" s="4" t="inlineStr">
        <is>
          <t>Có</t>
        </is>
      </c>
      <c r="L76" s="4" t="inlineStr">
        <is>
          <t>Không</t>
        </is>
      </c>
      <c r="M76" s="6" t="inlineStr">
        <is>
          <t>2010</t>
        </is>
      </c>
      <c r="N76" s="6" t="inlineStr">
        <is>
          <t>-</t>
        </is>
      </c>
      <c r="O76" s="6" t="inlineStr">
        <is>
          <t>Tiền mặt (2010)</t>
        </is>
      </c>
    </row>
    <row r="77" ht="22" customHeight="1">
      <c r="A77" s="13" t="n">
        <v>74</v>
      </c>
      <c r="B77" s="25" t="inlineStr">
        <is>
          <t>VNB</t>
        </is>
      </c>
      <c r="C77" s="13" t="inlineStr">
        <is>
          <t>UPCOM</t>
        </is>
      </c>
      <c r="D77" s="14" t="inlineStr">
        <is>
          <t>CTCP Sách Việt Nam</t>
        </is>
      </c>
      <c r="E77" s="14" t="inlineStr">
        <is>
          <t>Truyền thông</t>
        </is>
      </c>
      <c r="F77" s="14" t="inlineStr">
        <is>
          <t>Dịch vụ Tiêu dùng</t>
        </is>
      </c>
      <c r="G77" s="7" t="inlineStr">
        <is>
          <t>⭐ Đầu ngành</t>
        </is>
      </c>
      <c r="H77" s="15" t="n">
        <v>103720</v>
      </c>
      <c r="I77" s="16" t="n">
        <v>17000</v>
      </c>
      <c r="J77" s="26" t="inlineStr">
        <is>
          <t>Chưa chia / Khác</t>
        </is>
      </c>
      <c r="K77" s="13" t="inlineStr">
        <is>
          <t>Không</t>
        </is>
      </c>
      <c r="L77" s="13" t="inlineStr">
        <is>
          <t>Không</t>
        </is>
      </c>
      <c r="M77" s="14" t="inlineStr">
        <is>
          <t>-</t>
        </is>
      </c>
      <c r="N77" s="14" t="inlineStr">
        <is>
          <t>-</t>
        </is>
      </c>
      <c r="O77" s="14" t="inlineStr">
        <is>
          <t>Chưa có lịch sử chia cổ tức</t>
        </is>
      </c>
    </row>
    <row r="78" ht="22" customHeight="1">
      <c r="A78" s="4" t="n">
        <v>75</v>
      </c>
      <c r="B78" s="5" t="inlineStr">
        <is>
          <t>HPG</t>
        </is>
      </c>
      <c r="C78" s="4" t="inlineStr">
        <is>
          <t>HOSE</t>
        </is>
      </c>
      <c r="D78" s="6" t="inlineStr">
        <is>
          <t>CTCP Tập đoàn Hòa Phát</t>
        </is>
      </c>
      <c r="E78" s="6" t="inlineStr">
        <is>
          <t>Tài nguyên Cơ bản</t>
        </is>
      </c>
      <c r="F78" s="6" t="inlineStr">
        <is>
          <t>Nguyên vật liệu</t>
        </is>
      </c>
      <c r="G78" s="7" t="inlineStr">
        <is>
          <t>⭐ Đầu ngành</t>
        </is>
      </c>
      <c r="H78" s="8" t="n">
        <v>19751625</v>
      </c>
      <c r="I78" s="9" t="n">
        <v>21550</v>
      </c>
      <c r="J78" s="10" t="inlineStr">
        <is>
          <t>Cả tiền mặt &amp; cổ phiếu</t>
        </is>
      </c>
      <c r="K78" s="11" t="inlineStr">
        <is>
          <t>Hàng năm</t>
        </is>
      </c>
      <c r="L78" s="12" t="inlineStr">
        <is>
          <t>Có</t>
        </is>
      </c>
      <c r="M78" s="6" t="inlineStr">
        <is>
          <t>2026, 2022, 2021, 2020, 2016, 2015, 2014, 2013</t>
        </is>
      </c>
      <c r="N78" s="6" t="inlineStr">
        <is>
          <t>2026, 2025, 2024, 2022, 2021, 2020, 2019, 2018</t>
        </is>
      </c>
      <c r="O78" s="6" t="inlineStr">
        <is>
          <t>Tiền mặt hàng năm (2026, 2022, 2021, 2020, 2016, 2015, 2014, 2013); Cổ tức CP (2026, 2025, 2024, 2022, 2021, 2020, 2019, 2018)</t>
        </is>
      </c>
    </row>
    <row r="79" ht="22" customHeight="1">
      <c r="A79" s="13" t="n">
        <v>76</v>
      </c>
      <c r="B79" s="20" t="inlineStr">
        <is>
          <t>POM</t>
        </is>
      </c>
      <c r="C79" s="13" t="inlineStr">
        <is>
          <t>UPCOM</t>
        </is>
      </c>
      <c r="D79" s="14" t="inlineStr">
        <is>
          <t>CTCP Thép Pomina</t>
        </is>
      </c>
      <c r="E79" s="14" t="inlineStr">
        <is>
          <t>Tài nguyên Cơ bản</t>
        </is>
      </c>
      <c r="F79" s="14" t="inlineStr">
        <is>
          <t>Nguyên vật liệu</t>
        </is>
      </c>
      <c r="G79" s="7" t="inlineStr">
        <is>
          <t>⭐ Đầu ngành</t>
        </is>
      </c>
      <c r="H79" s="15" t="n">
        <v>3079714.285714286</v>
      </c>
      <c r="I79" s="16" t="n">
        <v>3500</v>
      </c>
      <c r="J79" s="21" t="inlineStr">
        <is>
          <t>Cổ tức cổ phiếu</t>
        </is>
      </c>
      <c r="K79" s="13" t="inlineStr">
        <is>
          <t>Có</t>
        </is>
      </c>
      <c r="L79" s="12" t="inlineStr">
        <is>
          <t>Có</t>
        </is>
      </c>
      <c r="M79" s="14" t="inlineStr">
        <is>
          <t>2011, 2010</t>
        </is>
      </c>
      <c r="N79" s="14" t="inlineStr">
        <is>
          <t>2020, 2018</t>
        </is>
      </c>
      <c r="O79" s="14" t="inlineStr">
        <is>
          <t>Tiền mặt (2011, 2010); Cổ tức CP (2020, 2018)</t>
        </is>
      </c>
    </row>
    <row r="80" ht="22" customHeight="1">
      <c r="A80" s="4" t="n">
        <v>77</v>
      </c>
      <c r="B80" s="5" t="inlineStr">
        <is>
          <t>HSG</t>
        </is>
      </c>
      <c r="C80" s="4" t="inlineStr">
        <is>
          <t>HOSE</t>
        </is>
      </c>
      <c r="D80" s="6" t="inlineStr">
        <is>
          <t>CTCP Tập đoàn Hoa Sen</t>
        </is>
      </c>
      <c r="E80" s="6" t="inlineStr">
        <is>
          <t>Tài nguyên Cơ bản</t>
        </is>
      </c>
      <c r="F80" s="6" t="inlineStr">
        <is>
          <t>Nguyên vật liệu</t>
        </is>
      </c>
      <c r="G80" s="7" t="inlineStr">
        <is>
          <t>⭐ Đầu ngành</t>
        </is>
      </c>
      <c r="H80" s="8" t="n">
        <v>2381545</v>
      </c>
      <c r="I80" s="9" t="n">
        <v>10150</v>
      </c>
      <c r="J80" s="10" t="inlineStr">
        <is>
          <t>Cả tiền mặt &amp; cổ phiếu</t>
        </is>
      </c>
      <c r="K80" s="11" t="inlineStr">
        <is>
          <t>Hàng năm</t>
        </is>
      </c>
      <c r="L80" s="12" t="inlineStr">
        <is>
          <t>Có</t>
        </is>
      </c>
      <c r="M80" s="6" t="inlineStr">
        <is>
          <t>2025, 2024, 2018, 2017, 2016, 2015, 2014, 2013</t>
        </is>
      </c>
      <c r="N80" s="6" t="inlineStr">
        <is>
          <t>2026, 2023, 2022, 2021, 2020, 2019, 2018, 2017</t>
        </is>
      </c>
      <c r="O80" s="6" t="inlineStr">
        <is>
          <t>Tiền mặt hàng năm (2025, 2024, 2018, 2017, 2016, 2015, 2014, 2013); Cổ tức CP (2026, 2023, 2022, 2021, 2020, 2019, 2018, 2017)</t>
        </is>
      </c>
    </row>
    <row r="81" ht="22" customHeight="1">
      <c r="A81" s="13" t="n">
        <v>78</v>
      </c>
      <c r="B81" s="20" t="inlineStr">
        <is>
          <t>MSR</t>
        </is>
      </c>
      <c r="C81" s="13" t="inlineStr">
        <is>
          <t>UPCOM</t>
        </is>
      </c>
      <c r="D81" s="14" t="inlineStr">
        <is>
          <t>CTCP Masan High-Tech Materials</t>
        </is>
      </c>
      <c r="E81" s="14" t="inlineStr">
        <is>
          <t>Tài nguyên Cơ bản</t>
        </is>
      </c>
      <c r="F81" s="14" t="inlineStr">
        <is>
          <t>Nguyên vật liệu</t>
        </is>
      </c>
      <c r="G81" s="7" t="inlineStr">
        <is>
          <t>⭐ Đầu ngành</t>
        </is>
      </c>
      <c r="H81" s="15" t="n">
        <v>1663860</v>
      </c>
      <c r="I81" s="16" t="n">
        <v>47300</v>
      </c>
      <c r="J81" s="21" t="inlineStr">
        <is>
          <t>Cổ tức cổ phiếu</t>
        </is>
      </c>
      <c r="K81" s="13" t="inlineStr">
        <is>
          <t>Có</t>
        </is>
      </c>
      <c r="L81" s="12" t="inlineStr">
        <is>
          <t>Có</t>
        </is>
      </c>
      <c r="M81" s="14" t="inlineStr">
        <is>
          <t>2026</t>
        </is>
      </c>
      <c r="N81" s="14" t="inlineStr">
        <is>
          <t>2019, 2018</t>
        </is>
      </c>
      <c r="O81" s="14" t="inlineStr">
        <is>
          <t>Tiền mặt (2026); Cổ tức CP (2019, 2018)</t>
        </is>
      </c>
    </row>
    <row r="82" ht="22" customHeight="1">
      <c r="A82" s="4" t="n">
        <v>79</v>
      </c>
      <c r="B82" s="5" t="inlineStr">
        <is>
          <t>NKG</t>
        </is>
      </c>
      <c r="C82" s="4" t="inlineStr">
        <is>
          <t>HOSE</t>
        </is>
      </c>
      <c r="D82" s="6" t="inlineStr">
        <is>
          <t>CTCP Thép Nam Kim</t>
        </is>
      </c>
      <c r="E82" s="6" t="inlineStr">
        <is>
          <t>Tài nguyên Cơ bản</t>
        </is>
      </c>
      <c r="F82" s="6" t="inlineStr">
        <is>
          <t>Nguyên vật liệu</t>
        </is>
      </c>
      <c r="G82" s="7" t="inlineStr">
        <is>
          <t>⭐ Đầu ngành</t>
        </is>
      </c>
      <c r="H82" s="8" t="n">
        <v>1490910</v>
      </c>
      <c r="I82" s="9" t="n">
        <v>9890</v>
      </c>
      <c r="J82" s="10" t="inlineStr">
        <is>
          <t>Cả tiền mặt &amp; cổ phiếu</t>
        </is>
      </c>
      <c r="K82" s="11" t="inlineStr">
        <is>
          <t>Hàng năm</t>
        </is>
      </c>
      <c r="L82" s="12" t="inlineStr">
        <is>
          <t>Có</t>
        </is>
      </c>
      <c r="M82" s="6" t="inlineStr">
        <is>
          <t>2022, 2020, 2017, 2011</t>
        </is>
      </c>
      <c r="N82" s="6" t="inlineStr">
        <is>
          <t>2026, 2024, 2022, 2021, 2018, 2017, 2016, 2015</t>
        </is>
      </c>
      <c r="O82" s="6" t="inlineStr">
        <is>
          <t>Tiền mặt hàng năm (2022, 2020, 2017, 2011); Cổ tức CP (2026, 2024, 2022, 2021, 2018, 2017, 2016, 2015)</t>
        </is>
      </c>
    </row>
    <row r="83" ht="22" customHeight="1">
      <c r="A83" s="13" t="n">
        <v>80</v>
      </c>
      <c r="B83" s="5" t="inlineStr">
        <is>
          <t>PTB</t>
        </is>
      </c>
      <c r="C83" s="13" t="inlineStr">
        <is>
          <t>HOSE</t>
        </is>
      </c>
      <c r="D83" s="14" t="inlineStr">
        <is>
          <t>CTCP Phú Tài</t>
        </is>
      </c>
      <c r="E83" s="14" t="inlineStr">
        <is>
          <t>Tài nguyên Cơ bản</t>
        </is>
      </c>
      <c r="F83" s="14" t="inlineStr">
        <is>
          <t>Nguyên vật liệu</t>
        </is>
      </c>
      <c r="G83" s="7" t="inlineStr">
        <is>
          <t>⭐ Đầu ngành</t>
        </is>
      </c>
      <c r="H83" s="15" t="n">
        <v>118740</v>
      </c>
      <c r="I83" s="16" t="n">
        <v>29800</v>
      </c>
      <c r="J83" s="17" t="inlineStr">
        <is>
          <t>Cả tiền mặt &amp; cổ phiếu</t>
        </is>
      </c>
      <c r="K83" s="11" t="inlineStr">
        <is>
          <t>Hàng năm</t>
        </is>
      </c>
      <c r="L83" s="12" t="inlineStr">
        <is>
          <t>Có</t>
        </is>
      </c>
      <c r="M83" s="14" t="inlineStr">
        <is>
          <t>2026, 2025, 2024, 2023, 2022, 2021, 2020, 2019</t>
        </is>
      </c>
      <c r="N83" s="14" t="inlineStr">
        <is>
          <t>2026, 2022, 2021, 2018, 2017, 2016, 2015, 2011</t>
        </is>
      </c>
      <c r="O83" s="14" t="inlineStr">
        <is>
          <t>Tiền mặt hàng năm (2026, 2025, 2024, 2023, 2022, 2021, 2020, 2019); Cổ tức CP (2026, 2022, 2021, 2018, 2017, 2016, 2015, 2011)</t>
        </is>
      </c>
    </row>
    <row r="84" ht="22" customHeight="1">
      <c r="A84" s="4" t="n">
        <v>81</v>
      </c>
      <c r="B84" s="22" t="inlineStr">
        <is>
          <t>VGI</t>
        </is>
      </c>
      <c r="C84" s="4" t="inlineStr">
        <is>
          <t>UPCOM</t>
        </is>
      </c>
      <c r="D84" s="6" t="inlineStr">
        <is>
          <t>Tổng Công ty cổ phần Đầu tư Quốc tế Viettel</t>
        </is>
      </c>
      <c r="E84" s="6" t="inlineStr">
        <is>
          <t>Viễn thông</t>
        </is>
      </c>
      <c r="F84" s="6" t="inlineStr">
        <is>
          <t>Viễn thông</t>
        </is>
      </c>
      <c r="G84" s="7" t="inlineStr">
        <is>
          <t>⭐ Đầu ngành</t>
        </is>
      </c>
      <c r="H84" s="8" t="n">
        <v>266680</v>
      </c>
      <c r="I84" s="9" t="n">
        <v>80400</v>
      </c>
      <c r="J84" s="27" t="inlineStr">
        <is>
          <t>Tiền mặt hàng năm</t>
        </is>
      </c>
      <c r="K84" s="11" t="inlineStr">
        <is>
          <t>Hàng năm</t>
        </is>
      </c>
      <c r="L84" s="4" t="inlineStr">
        <is>
          <t>Không</t>
        </is>
      </c>
      <c r="M84" s="6" t="inlineStr">
        <is>
          <t>2026, 2025</t>
        </is>
      </c>
      <c r="N84" s="6" t="inlineStr">
        <is>
          <t>-</t>
        </is>
      </c>
      <c r="O84" s="6" t="inlineStr">
        <is>
          <t>Tiền mặt hàng năm (2026, 2025)</t>
        </is>
      </c>
    </row>
    <row r="85" ht="22" customHeight="1">
      <c r="A85" s="13" t="n">
        <v>82</v>
      </c>
      <c r="B85" s="5" t="inlineStr">
        <is>
          <t>FOX</t>
        </is>
      </c>
      <c r="C85" s="13" t="inlineStr">
        <is>
          <t>UPCOM</t>
        </is>
      </c>
      <c r="D85" s="14" t="inlineStr">
        <is>
          <t>CTCP Viễn thông FPT</t>
        </is>
      </c>
      <c r="E85" s="14" t="inlineStr">
        <is>
          <t>Viễn thông</t>
        </is>
      </c>
      <c r="F85" s="14" t="inlineStr">
        <is>
          <t>Viễn thông</t>
        </is>
      </c>
      <c r="G85" s="7" t="inlineStr">
        <is>
          <t>⭐ Đầu ngành</t>
        </is>
      </c>
      <c r="H85" s="15" t="n">
        <v>57905</v>
      </c>
      <c r="I85" s="16" t="n">
        <v>60700</v>
      </c>
      <c r="J85" s="17" t="inlineStr">
        <is>
          <t>Cả tiền mặt &amp; cổ phiếu</t>
        </is>
      </c>
      <c r="K85" s="11" t="inlineStr">
        <is>
          <t>Hàng năm</t>
        </is>
      </c>
      <c r="L85" s="12" t="inlineStr">
        <is>
          <t>Có</t>
        </is>
      </c>
      <c r="M85" s="14" t="inlineStr">
        <is>
          <t>2025, 2024, 2023, 2022, 2021, 2020, 2019, 2018</t>
        </is>
      </c>
      <c r="N85" s="14" t="inlineStr">
        <is>
          <t>2025, 2023, 2021, 2020, 2019, 2018, 2017</t>
        </is>
      </c>
      <c r="O85" s="14" t="inlineStr">
        <is>
          <t>Tiền mặt hàng năm (2025, 2024, 2023, 2022, 2021, 2020, 2019, 2018); Cổ tức CP (2025, 2023, 2021, 2020, 2019, 2018, 2017)</t>
        </is>
      </c>
    </row>
    <row r="86" ht="22" customHeight="1">
      <c r="A86" s="4" t="n">
        <v>83</v>
      </c>
      <c r="B86" s="5" t="inlineStr">
        <is>
          <t>CII</t>
        </is>
      </c>
      <c r="C86" s="4" t="inlineStr">
        <is>
          <t>HOSE</t>
        </is>
      </c>
      <c r="D86" s="6" t="inlineStr">
        <is>
          <t>CTCP Đầu tư Hạ tầng Kỹ thuật Thành phố Hồ Chí Minh</t>
        </is>
      </c>
      <c r="E86" s="6" t="inlineStr">
        <is>
          <t>Xây dựng và Vật liệu</t>
        </is>
      </c>
      <c r="F86" s="6" t="inlineStr">
        <is>
          <t>Công nghiệp</t>
        </is>
      </c>
      <c r="G86" s="7" t="inlineStr">
        <is>
          <t>⭐ Đầu ngành</t>
        </is>
      </c>
      <c r="H86" s="8" t="n">
        <v>9216015</v>
      </c>
      <c r="I86" s="9" t="n">
        <v>12900</v>
      </c>
      <c r="J86" s="10" t="inlineStr">
        <is>
          <t>Cả tiền mặt &amp; cổ phiếu</t>
        </is>
      </c>
      <c r="K86" s="11" t="inlineStr">
        <is>
          <t>Hàng năm</t>
        </is>
      </c>
      <c r="L86" s="12" t="inlineStr">
        <is>
          <t>Có</t>
        </is>
      </c>
      <c r="M86" s="6" t="inlineStr">
        <is>
          <t>2025, 2024, 2023, 2020, 2017, 2016, 2015, 2014</t>
        </is>
      </c>
      <c r="N86" s="6" t="inlineStr">
        <is>
          <t>2025, 2012</t>
        </is>
      </c>
      <c r="O86" s="6" t="inlineStr">
        <is>
          <t>Tiền mặt hàng năm (2025, 2024, 2023, 2020, 2017, 2016, 2015, 2014); Cổ tức CP (2025, 2012)</t>
        </is>
      </c>
    </row>
    <row r="87" ht="22" customHeight="1">
      <c r="A87" s="13" t="n">
        <v>84</v>
      </c>
      <c r="B87" s="5" t="inlineStr">
        <is>
          <t>HHV</t>
        </is>
      </c>
      <c r="C87" s="13" t="inlineStr">
        <is>
          <t>HOSE</t>
        </is>
      </c>
      <c r="D87" s="14" t="inlineStr">
        <is>
          <t>CTCP Đầu tư Hạ tầng Giao thông Đèo Cả</t>
        </is>
      </c>
      <c r="E87" s="14" t="inlineStr">
        <is>
          <t>Xây dựng và Vật liệu</t>
        </is>
      </c>
      <c r="F87" s="14" t="inlineStr">
        <is>
          <t>Công nghiệp</t>
        </is>
      </c>
      <c r="G87" s="7" t="inlineStr">
        <is>
          <t>⭐ Đầu ngành</t>
        </is>
      </c>
      <c r="H87" s="15" t="n">
        <v>2585770</v>
      </c>
      <c r="I87" s="16" t="n">
        <v>9410</v>
      </c>
      <c r="J87" s="17" t="inlineStr">
        <is>
          <t>Cả tiền mặt &amp; cổ phiếu</t>
        </is>
      </c>
      <c r="K87" s="11" t="inlineStr">
        <is>
          <t>Hàng năm</t>
        </is>
      </c>
      <c r="L87" s="12" t="inlineStr">
        <is>
          <t>Có</t>
        </is>
      </c>
      <c r="M87" s="14" t="inlineStr">
        <is>
          <t>2019, 2018, 2017</t>
        </is>
      </c>
      <c r="N87" s="14" t="inlineStr">
        <is>
          <t>2026, 2025, 2024, 2023</t>
        </is>
      </c>
      <c r="O87" s="14" t="inlineStr">
        <is>
          <t>Tiền mặt hàng năm (2019, 2018, 2017); Cổ tức CP (2026, 2025, 2024, 2023)</t>
        </is>
      </c>
    </row>
    <row r="88" ht="22" customHeight="1">
      <c r="A88" s="4" t="n">
        <v>85</v>
      </c>
      <c r="B88" s="5" t="inlineStr">
        <is>
          <t>VCG</t>
        </is>
      </c>
      <c r="C88" s="4" t="inlineStr">
        <is>
          <t>HOSE</t>
        </is>
      </c>
      <c r="D88" s="6" t="inlineStr">
        <is>
          <t>Tổng Công ty cổ phần Xuất nhập khẩu và Xây dựng Việt Nam</t>
        </is>
      </c>
      <c r="E88" s="6" t="inlineStr">
        <is>
          <t>Xây dựng và Vật liệu</t>
        </is>
      </c>
      <c r="F88" s="6" t="inlineStr">
        <is>
          <t>Công nghiệp</t>
        </is>
      </c>
      <c r="G88" s="7" t="inlineStr">
        <is>
          <t>⭐ Đầu ngành</t>
        </is>
      </c>
      <c r="H88" s="8" t="n">
        <v>2189115</v>
      </c>
      <c r="I88" s="9" t="n">
        <v>14400</v>
      </c>
      <c r="J88" s="10" t="inlineStr">
        <is>
          <t>Cả tiền mặt &amp; cổ phiếu</t>
        </is>
      </c>
      <c r="K88" s="11" t="inlineStr">
        <is>
          <t>Hàng năm</t>
        </is>
      </c>
      <c r="L88" s="12" t="inlineStr">
        <is>
          <t>Có</t>
        </is>
      </c>
      <c r="M88" s="6" t="inlineStr">
        <is>
          <t>2026, 2025, 2022, 2021, 2019, 2018, 2017, 2016</t>
        </is>
      </c>
      <c r="N88" s="6" t="inlineStr">
        <is>
          <t>2026, 2025, 2024, 2023, 2022, 2021</t>
        </is>
      </c>
      <c r="O88" s="6" t="inlineStr">
        <is>
          <t>Tiền mặt hàng năm (2026, 2025, 2022, 2021, 2019, 2018, 2017, 2016); Cổ tức CP (2026, 2025, 2024, 2023, 2022, 2021)</t>
        </is>
      </c>
    </row>
    <row r="89" ht="22" customHeight="1">
      <c r="A89" s="13" t="n">
        <v>86</v>
      </c>
      <c r="B89" s="20" t="inlineStr">
        <is>
          <t>PC1</t>
        </is>
      </c>
      <c r="C89" s="13" t="inlineStr">
        <is>
          <t>HOSE</t>
        </is>
      </c>
      <c r="D89" s="14" t="inlineStr">
        <is>
          <t>CTCP Tập Đoàn PC1</t>
        </is>
      </c>
      <c r="E89" s="14" t="inlineStr">
        <is>
          <t>Xây dựng và Vật liệu</t>
        </is>
      </c>
      <c r="F89" s="14" t="inlineStr">
        <is>
          <t>Công nghiệp</t>
        </is>
      </c>
      <c r="G89" s="7" t="inlineStr">
        <is>
          <t>⭐ Đầu ngành</t>
        </is>
      </c>
      <c r="H89" s="15" t="n">
        <v>1403710</v>
      </c>
      <c r="I89" s="16" t="n">
        <v>20050</v>
      </c>
      <c r="J89" s="21" t="inlineStr">
        <is>
          <t>Cổ tức cổ phiếu</t>
        </is>
      </c>
      <c r="K89" s="13" t="inlineStr">
        <is>
          <t>Không</t>
        </is>
      </c>
      <c r="L89" s="12" t="inlineStr">
        <is>
          <t>Có</t>
        </is>
      </c>
      <c r="M89" s="14" t="inlineStr">
        <is>
          <t>-</t>
        </is>
      </c>
      <c r="N89" s="14" t="inlineStr">
        <is>
          <t>2025, 2024, 2023, 2022, 2021, 2020, 2019, 2018</t>
        </is>
      </c>
      <c r="O89" s="14" t="inlineStr">
        <is>
          <t>Cổ tức CP (2025, 2024, 2023, 2022, 2021, 2020, 2019, 2018)</t>
        </is>
      </c>
    </row>
    <row r="90" ht="22" customHeight="1">
      <c r="A90" s="4" t="n">
        <v>87</v>
      </c>
      <c r="B90" s="5" t="inlineStr">
        <is>
          <t>KSB</t>
        </is>
      </c>
      <c r="C90" s="4" t="inlineStr">
        <is>
          <t>HOSE</t>
        </is>
      </c>
      <c r="D90" s="6" t="inlineStr">
        <is>
          <t>CTCP Khoáng sản và Xây dựng Bình Dương</t>
        </is>
      </c>
      <c r="E90" s="6" t="inlineStr">
        <is>
          <t>Xây dựng và Vật liệu</t>
        </is>
      </c>
      <c r="F90" s="6" t="inlineStr">
        <is>
          <t>Công nghiệp</t>
        </is>
      </c>
      <c r="G90" s="7" t="inlineStr">
        <is>
          <t>⭐ Đầu ngành</t>
        </is>
      </c>
      <c r="H90" s="8" t="n">
        <v>556390</v>
      </c>
      <c r="I90" s="9" t="n">
        <v>13200</v>
      </c>
      <c r="J90" s="10" t="inlineStr">
        <is>
          <t>Cả tiền mặt &amp; cổ phiếu</t>
        </is>
      </c>
      <c r="K90" s="11" t="inlineStr">
        <is>
          <t>Hàng năm</t>
        </is>
      </c>
      <c r="L90" s="12" t="inlineStr">
        <is>
          <t>Có</t>
        </is>
      </c>
      <c r="M90" s="6" t="inlineStr">
        <is>
          <t>2018, 2017, 2016, 2015, 2014, 2013, 2011, 2010</t>
        </is>
      </c>
      <c r="N90" s="6" t="inlineStr">
        <is>
          <t>2021, 2020, 2018, 2017, 2015, 2012</t>
        </is>
      </c>
      <c r="O90" s="6" t="inlineStr">
        <is>
          <t>Tiền mặt hàng năm (2018, 2017, 2016, 2015, 2014, 2013, 2011, 2010); Cổ tức CP (2021, 2020, 2018, 2017, 2015, 2012)</t>
        </is>
      </c>
    </row>
    <row r="91" ht="22" customHeight="1">
      <c r="A91" s="13" t="n">
        <v>88</v>
      </c>
      <c r="B91" s="5" t="inlineStr">
        <is>
          <t>DPG</t>
        </is>
      </c>
      <c r="C91" s="13" t="inlineStr">
        <is>
          <t>HOSE</t>
        </is>
      </c>
      <c r="D91" s="14" t="inlineStr">
        <is>
          <t>CTCP Tập đoàn Đạt Phương</t>
        </is>
      </c>
      <c r="E91" s="14" t="inlineStr">
        <is>
          <t>Xây dựng và Vật liệu</t>
        </is>
      </c>
      <c r="F91" s="14" t="inlineStr">
        <is>
          <t>Công nghiệp</t>
        </is>
      </c>
      <c r="G91" s="7" t="inlineStr">
        <is>
          <t>⭐ Đầu ngành</t>
        </is>
      </c>
      <c r="H91" s="15" t="n">
        <v>345555</v>
      </c>
      <c r="I91" s="16" t="n">
        <v>27100</v>
      </c>
      <c r="J91" s="17" t="inlineStr">
        <is>
          <t>Cả tiền mặt &amp; cổ phiếu</t>
        </is>
      </c>
      <c r="K91" s="11" t="inlineStr">
        <is>
          <t>Hàng năm</t>
        </is>
      </c>
      <c r="L91" s="12" t="inlineStr">
        <is>
          <t>Có</t>
        </is>
      </c>
      <c r="M91" s="14" t="inlineStr">
        <is>
          <t>2026, 2025, 2024, 2023, 2022, 2021, 2020, 2019</t>
        </is>
      </c>
      <c r="N91" s="14" t="inlineStr">
        <is>
          <t>2025, 2021, 2019, 2018, 2017</t>
        </is>
      </c>
      <c r="O91" s="14" t="inlineStr">
        <is>
          <t>Tiền mặt hàng năm (2026, 2025, 2024, 2023, 2022, 2021, 2020, 2019); Cổ tức CP (2025, 2021, 2019, 2018, 2017)</t>
        </is>
      </c>
    </row>
    <row r="92" ht="22" customHeight="1">
      <c r="A92" s="4" t="n">
        <v>89</v>
      </c>
      <c r="B92" s="22" t="inlineStr">
        <is>
          <t>VGC</t>
        </is>
      </c>
      <c r="C92" s="4" t="inlineStr">
        <is>
          <t>HOSE</t>
        </is>
      </c>
      <c r="D92" s="6" t="inlineStr">
        <is>
          <t>Tổng Công ty Viglacera - CTCP</t>
        </is>
      </c>
      <c r="E92" s="6" t="inlineStr">
        <is>
          <t>Xây dựng và Vật liệu</t>
        </is>
      </c>
      <c r="F92" s="6" t="inlineStr">
        <is>
          <t>Công nghiệp</t>
        </is>
      </c>
      <c r="G92" s="7" t="inlineStr">
        <is>
          <t>⭐ Đầu ngành</t>
        </is>
      </c>
      <c r="H92" s="8" t="n">
        <v>318600</v>
      </c>
      <c r="I92" s="9" t="n">
        <v>40500</v>
      </c>
      <c r="J92" s="27" t="inlineStr">
        <is>
          <t>Tiền mặt hàng năm</t>
        </is>
      </c>
      <c r="K92" s="11" t="inlineStr">
        <is>
          <t>Hàng năm</t>
        </is>
      </c>
      <c r="L92" s="4" t="inlineStr">
        <is>
          <t>Không</t>
        </is>
      </c>
      <c r="M92" s="6" t="inlineStr">
        <is>
          <t>2026, 2025, 2024, 2023, 2022, 2021, 2020, 2019</t>
        </is>
      </c>
      <c r="N92" s="6" t="inlineStr">
        <is>
          <t>-</t>
        </is>
      </c>
      <c r="O92" s="6" t="inlineStr">
        <is>
          <t>Tiền mặt hàng năm (2026, 2025, 2024, 2023, 2022, 2021, 2020, 2019)</t>
        </is>
      </c>
    </row>
    <row r="93" ht="22" customHeight="1">
      <c r="A93" s="13" t="n">
        <v>90</v>
      </c>
      <c r="B93" s="5" t="inlineStr">
        <is>
          <t>CTD</t>
        </is>
      </c>
      <c r="C93" s="13" t="inlineStr">
        <is>
          <t>HOSE</t>
        </is>
      </c>
      <c r="D93" s="14" t="inlineStr">
        <is>
          <t>CTCP Xây dựng Coteccons</t>
        </is>
      </c>
      <c r="E93" s="14" t="inlineStr">
        <is>
          <t>Xây dựng và Vật liệu</t>
        </is>
      </c>
      <c r="F93" s="14" t="inlineStr">
        <is>
          <t>Công nghiệp</t>
        </is>
      </c>
      <c r="G93" s="7" t="inlineStr">
        <is>
          <t>⭐ Đầu ngành</t>
        </is>
      </c>
      <c r="H93" s="15" t="n">
        <v>231110</v>
      </c>
      <c r="I93" s="16" t="n">
        <v>59000</v>
      </c>
      <c r="J93" s="17" t="inlineStr">
        <is>
          <t>Cả tiền mặt &amp; cổ phiếu</t>
        </is>
      </c>
      <c r="K93" s="11" t="inlineStr">
        <is>
          <t>Hàng năm</t>
        </is>
      </c>
      <c r="L93" s="12" t="inlineStr">
        <is>
          <t>Có</t>
        </is>
      </c>
      <c r="M93" s="14" t="inlineStr">
        <is>
          <t>2025, 2024, 2021, 2020, 2019, 2018, 2017, 2016</t>
        </is>
      </c>
      <c r="N93" s="14" t="inlineStr">
        <is>
          <t>2026, 2025, 2023, 2016</t>
        </is>
      </c>
      <c r="O93" s="14" t="inlineStr">
        <is>
          <t>Tiền mặt hàng năm (2025, 2024, 2021, 2020, 2019, 2018, 2017, 2016); Cổ tức CP (2026, 2025, 2023, 2016)</t>
        </is>
      </c>
    </row>
    <row r="94" ht="22" customHeight="1">
      <c r="A94" s="4" t="n">
        <v>91</v>
      </c>
      <c r="B94" s="5" t="inlineStr">
        <is>
          <t>NTP</t>
        </is>
      </c>
      <c r="C94" s="4" t="inlineStr">
        <is>
          <t>HNX</t>
        </is>
      </c>
      <c r="D94" s="6" t="inlineStr">
        <is>
          <t>CTCP Nhựa Thiếu niên Tiền Phong</t>
        </is>
      </c>
      <c r="E94" s="6" t="inlineStr">
        <is>
          <t>Xây dựng và Vật liệu</t>
        </is>
      </c>
      <c r="F94" s="6" t="inlineStr">
        <is>
          <t>Công nghiệp</t>
        </is>
      </c>
      <c r="G94" s="7" t="inlineStr">
        <is>
          <t>⭐ Đầu ngành</t>
        </is>
      </c>
      <c r="H94" s="8" t="n">
        <v>213430</v>
      </c>
      <c r="I94" s="9" t="n">
        <v>52500</v>
      </c>
      <c r="J94" s="10" t="inlineStr">
        <is>
          <t>Cả tiền mặt &amp; cổ phiếu</t>
        </is>
      </c>
      <c r="K94" s="11" t="inlineStr">
        <is>
          <t>Hàng năm</t>
        </is>
      </c>
      <c r="L94" s="12" t="inlineStr">
        <is>
          <t>Có</t>
        </is>
      </c>
      <c r="M94" s="6" t="inlineStr">
        <is>
          <t>2026, 2025, 2024, 2023, 2022, 2021, 2020, 2019</t>
        </is>
      </c>
      <c r="N94" s="6" t="inlineStr">
        <is>
          <t>2026, 2025, 2024, 2022, 2020, 2019, 2017, 2016</t>
        </is>
      </c>
      <c r="O94" s="6" t="inlineStr">
        <is>
          <t>Tiền mặt hàng năm (2026, 2025, 2024, 2023, 2022, 2021, 2020, 2019); Cổ tức CP (2026, 2025, 2024, 2022, 2020, 2019, 2017, 2016)</t>
        </is>
      </c>
    </row>
    <row r="95" ht="22" customHeight="1">
      <c r="A95" s="13" t="n">
        <v>92</v>
      </c>
      <c r="B95" s="5" t="inlineStr">
        <is>
          <t>HT1</t>
        </is>
      </c>
      <c r="C95" s="13" t="inlineStr">
        <is>
          <t>HOSE</t>
        </is>
      </c>
      <c r="D95" s="14" t="inlineStr">
        <is>
          <t>CTCP Xi Măng Vicem Hà Tiên</t>
        </is>
      </c>
      <c r="E95" s="14" t="inlineStr">
        <is>
          <t>Xây dựng và Vật liệu</t>
        </is>
      </c>
      <c r="F95" s="14" t="inlineStr">
        <is>
          <t>Công nghiệp</t>
        </is>
      </c>
      <c r="G95" s="7" t="inlineStr">
        <is>
          <t>⭐ Đầu ngành</t>
        </is>
      </c>
      <c r="H95" s="15" t="n">
        <v>188435</v>
      </c>
      <c r="I95" s="16" t="n">
        <v>11800</v>
      </c>
      <c r="J95" s="17" t="inlineStr">
        <is>
          <t>Cả tiền mặt &amp; cổ phiếu</t>
        </is>
      </c>
      <c r="K95" s="11" t="inlineStr">
        <is>
          <t>Hàng năm</t>
        </is>
      </c>
      <c r="L95" s="12" t="inlineStr">
        <is>
          <t>Có</t>
        </is>
      </c>
      <c r="M95" s="14" t="inlineStr">
        <is>
          <t>2026, 2025, 2023, 2022, 2021, 2020, 2019, 2017</t>
        </is>
      </c>
      <c r="N95" s="14" t="inlineStr">
        <is>
          <t>2016</t>
        </is>
      </c>
      <c r="O95" s="14" t="inlineStr">
        <is>
          <t>Tiền mặt hàng năm (2026, 2025, 2023, 2022, 2021, 2020, 2019, 2017); Cổ tức CP (2016)</t>
        </is>
      </c>
    </row>
    <row r="96" ht="22" customHeight="1">
      <c r="A96" s="4" t="n">
        <v>93</v>
      </c>
      <c r="B96" s="5" t="inlineStr">
        <is>
          <t>BMP</t>
        </is>
      </c>
      <c r="C96" s="4" t="inlineStr">
        <is>
          <t>HOSE</t>
        </is>
      </c>
      <c r="D96" s="6" t="inlineStr">
        <is>
          <t>CTCP Nhựa Bình Minh</t>
        </is>
      </c>
      <c r="E96" s="6" t="inlineStr">
        <is>
          <t>Xây dựng và Vật liệu</t>
        </is>
      </c>
      <c r="F96" s="6" t="inlineStr">
        <is>
          <t>Công nghiệp</t>
        </is>
      </c>
      <c r="G96" s="7" t="inlineStr">
        <is>
          <t>⭐ Đầu ngành</t>
        </is>
      </c>
      <c r="H96" s="8" t="n">
        <v>73200</v>
      </c>
      <c r="I96" s="9" t="n">
        <v>143500</v>
      </c>
      <c r="J96" s="10" t="inlineStr">
        <is>
          <t>Cả tiền mặt &amp; cổ phiếu</t>
        </is>
      </c>
      <c r="K96" s="11" t="inlineStr">
        <is>
          <t>Hàng năm</t>
        </is>
      </c>
      <c r="L96" s="12" t="inlineStr">
        <is>
          <t>Có</t>
        </is>
      </c>
      <c r="M96" s="6" t="inlineStr">
        <is>
          <t>2026, 2025, 2024, 2023, 2022, 2021, 2020, 2019</t>
        </is>
      </c>
      <c r="N96" s="6" t="inlineStr">
        <is>
          <t>2017</t>
        </is>
      </c>
      <c r="O96" s="6" t="inlineStr">
        <is>
          <t>Tiền mặt hàng năm (2026, 2025, 2024, 2023, 2022, 2021, 2020, 2019); Cổ tức CP (2017)</t>
        </is>
      </c>
    </row>
    <row r="97" ht="22" customHeight="1">
      <c r="A97" s="13" t="n">
        <v>94</v>
      </c>
      <c r="B97" s="5" t="inlineStr">
        <is>
          <t>DCL</t>
        </is>
      </c>
      <c r="C97" s="13" t="inlineStr">
        <is>
          <t>HOSE</t>
        </is>
      </c>
      <c r="D97" s="14" t="inlineStr">
        <is>
          <t>CTCP Dược phẩm Cửu Long</t>
        </is>
      </c>
      <c r="E97" s="14" t="inlineStr">
        <is>
          <t>Y tế</t>
        </is>
      </c>
      <c r="F97" s="14" t="inlineStr">
        <is>
          <t>Dược phẩm và Y tế</t>
        </is>
      </c>
      <c r="G97" s="7" t="inlineStr">
        <is>
          <t>⭐ Đầu ngành</t>
        </is>
      </c>
      <c r="H97" s="15" t="n">
        <v>1172025</v>
      </c>
      <c r="I97" s="16" t="n">
        <v>40500</v>
      </c>
      <c r="J97" s="17" t="inlineStr">
        <is>
          <t>Cả tiền mặt &amp; cổ phiếu</t>
        </is>
      </c>
      <c r="K97" s="11" t="inlineStr">
        <is>
          <t>Hàng năm</t>
        </is>
      </c>
      <c r="L97" s="12" t="inlineStr">
        <is>
          <t>Có</t>
        </is>
      </c>
      <c r="M97" s="14" t="inlineStr">
        <is>
          <t>2018, 2014, 2010, 2009</t>
        </is>
      </c>
      <c r="N97" s="14" t="inlineStr">
        <is>
          <t>2016</t>
        </is>
      </c>
      <c r="O97" s="14" t="inlineStr">
        <is>
          <t>Tiền mặt hàng năm (2018, 2014, 2010, 2009); Cổ tức CP (2016)</t>
        </is>
      </c>
    </row>
    <row r="98" ht="22" customHeight="1">
      <c r="A98" s="4" t="n">
        <v>95</v>
      </c>
      <c r="B98" s="20" t="inlineStr">
        <is>
          <t>AMV</t>
        </is>
      </c>
      <c r="C98" s="4" t="inlineStr">
        <is>
          <t>HNX</t>
        </is>
      </c>
      <c r="D98" s="6" t="inlineStr">
        <is>
          <t>CTCP Sản xuất Kinh doanh Dược và Trang thiết bị Y tế Việt Mỹ</t>
        </is>
      </c>
      <c r="E98" s="6" t="inlineStr">
        <is>
          <t>Y tế</t>
        </is>
      </c>
      <c r="F98" s="6" t="inlineStr">
        <is>
          <t>Dược phẩm và Y tế</t>
        </is>
      </c>
      <c r="G98" s="7" t="inlineStr">
        <is>
          <t>⭐ Đầu ngành</t>
        </is>
      </c>
      <c r="H98" s="8" t="n">
        <v>328480</v>
      </c>
      <c r="I98" s="9" t="n">
        <v>1200</v>
      </c>
      <c r="J98" s="24" t="inlineStr">
        <is>
          <t>Cổ tức cổ phiếu</t>
        </is>
      </c>
      <c r="K98" s="4" t="inlineStr">
        <is>
          <t>Có</t>
        </is>
      </c>
      <c r="L98" s="12" t="inlineStr">
        <is>
          <t>Có</t>
        </is>
      </c>
      <c r="M98" s="6" t="inlineStr">
        <is>
          <t>2021, 2019</t>
        </is>
      </c>
      <c r="N98" s="6" t="inlineStr">
        <is>
          <t>2021, 2019</t>
        </is>
      </c>
      <c r="O98" s="6" t="inlineStr">
        <is>
          <t>Tiền mặt (2021, 2019); Cổ tức CP (2021, 2019)</t>
        </is>
      </c>
    </row>
    <row r="99" ht="22" customHeight="1">
      <c r="A99" s="13" t="n">
        <v>96</v>
      </c>
      <c r="B99" s="20" t="inlineStr">
        <is>
          <t>FIT</t>
        </is>
      </c>
      <c r="C99" s="13" t="inlineStr">
        <is>
          <t>HOSE</t>
        </is>
      </c>
      <c r="D99" s="14" t="inlineStr">
        <is>
          <t>CTCP Tập đoàn F.I.T</t>
        </is>
      </c>
      <c r="E99" s="14" t="inlineStr">
        <is>
          <t>Y tế</t>
        </is>
      </c>
      <c r="F99" s="14" t="inlineStr">
        <is>
          <t>Dược phẩm và Y tế</t>
        </is>
      </c>
      <c r="G99" s="7" t="inlineStr">
        <is>
          <t>⭐ Đầu ngành</t>
        </is>
      </c>
      <c r="H99" s="15" t="n">
        <v>224860</v>
      </c>
      <c r="I99" s="16" t="n">
        <v>3030</v>
      </c>
      <c r="J99" s="21" t="inlineStr">
        <is>
          <t>Cổ tức cổ phiếu</t>
        </is>
      </c>
      <c r="K99" s="13" t="inlineStr">
        <is>
          <t>Không</t>
        </is>
      </c>
      <c r="L99" s="12" t="inlineStr">
        <is>
          <t>Có</t>
        </is>
      </c>
      <c r="M99" s="14" t="inlineStr">
        <is>
          <t>-</t>
        </is>
      </c>
      <c r="N99" s="14" t="inlineStr">
        <is>
          <t>2022, 2016, 2015, 2014, 2013</t>
        </is>
      </c>
      <c r="O99" s="14" t="inlineStr">
        <is>
          <t>Cổ tức CP (2022, 2016, 2015, 2014, 2013)</t>
        </is>
      </c>
    </row>
    <row r="100" ht="22" customHeight="1">
      <c r="A100" s="4" t="n">
        <v>97</v>
      </c>
      <c r="B100" s="20" t="inlineStr">
        <is>
          <t>TNH</t>
        </is>
      </c>
      <c r="C100" s="4" t="inlineStr">
        <is>
          <t>HOSE</t>
        </is>
      </c>
      <c r="D100" s="6" t="inlineStr">
        <is>
          <t>CTCP Tập đoàn Bệnh viện TNH</t>
        </is>
      </c>
      <c r="E100" s="6" t="inlineStr">
        <is>
          <t>Y tế</t>
        </is>
      </c>
      <c r="F100" s="6" t="inlineStr">
        <is>
          <t>Dược phẩm và Y tế</t>
        </is>
      </c>
      <c r="G100" s="7" t="inlineStr">
        <is>
          <t>⭐ Đầu ngành</t>
        </is>
      </c>
      <c r="H100" s="8" t="n">
        <v>124730</v>
      </c>
      <c r="I100" s="9" t="n">
        <v>6650</v>
      </c>
      <c r="J100" s="24" t="inlineStr">
        <is>
          <t>Cổ tức cổ phiếu</t>
        </is>
      </c>
      <c r="K100" s="4" t="inlineStr">
        <is>
          <t>Không</t>
        </is>
      </c>
      <c r="L100" s="12" t="inlineStr">
        <is>
          <t>Có</t>
        </is>
      </c>
      <c r="M100" s="6" t="inlineStr">
        <is>
          <t>-</t>
        </is>
      </c>
      <c r="N100" s="6" t="inlineStr">
        <is>
          <t>2025, 2024, 2023, 2022</t>
        </is>
      </c>
      <c r="O100" s="6" t="inlineStr">
        <is>
          <t>Cổ tức CP (2025, 2024, 2023, 2022)</t>
        </is>
      </c>
    </row>
    <row r="101" ht="22" customHeight="1">
      <c r="A101" s="13" t="n">
        <v>98</v>
      </c>
      <c r="B101" s="5" t="inlineStr">
        <is>
          <t>DBD</t>
        </is>
      </c>
      <c r="C101" s="13" t="inlineStr">
        <is>
          <t>HOSE</t>
        </is>
      </c>
      <c r="D101" s="14" t="inlineStr">
        <is>
          <t>CTCP Dược - Trang thiết bị Y tế Bình Định (Bidiphar)</t>
        </is>
      </c>
      <c r="E101" s="14" t="inlineStr">
        <is>
          <t>Y tế</t>
        </is>
      </c>
      <c r="F101" s="14" t="inlineStr">
        <is>
          <t>Dược phẩm và Y tế</t>
        </is>
      </c>
      <c r="G101" s="7" t="inlineStr">
        <is>
          <t>⭐ Đầu ngành</t>
        </is>
      </c>
      <c r="H101" s="15" t="n">
        <v>53385</v>
      </c>
      <c r="I101" s="16" t="n">
        <v>46750</v>
      </c>
      <c r="J101" s="17" t="inlineStr">
        <is>
          <t>Cả tiền mặt &amp; cổ phiếu</t>
        </is>
      </c>
      <c r="K101" s="11" t="inlineStr">
        <is>
          <t>Hàng năm</t>
        </is>
      </c>
      <c r="L101" s="12" t="inlineStr">
        <is>
          <t>Có</t>
        </is>
      </c>
      <c r="M101" s="14" t="inlineStr">
        <is>
          <t>2026, 2025, 2023, 2021, 2019, 2018, 2017</t>
        </is>
      </c>
      <c r="N101" s="14" t="inlineStr">
        <is>
          <t>2024, 2022, 2021</t>
        </is>
      </c>
      <c r="O101" s="14" t="inlineStr">
        <is>
          <t>Tiền mặt hàng năm (2026, 2025, 2023, 2021, 2019, 2018, 2017); Cổ tức CP (2024, 2022, 2021)</t>
        </is>
      </c>
    </row>
    <row r="102" ht="22" customHeight="1">
      <c r="A102" s="4" t="n">
        <v>99</v>
      </c>
      <c r="B102" s="5" t="inlineStr">
        <is>
          <t>HUT</t>
        </is>
      </c>
      <c r="C102" s="4" t="inlineStr">
        <is>
          <t>HNX</t>
        </is>
      </c>
      <c r="D102" s="6" t="inlineStr">
        <is>
          <t>CTCP Tasco</t>
        </is>
      </c>
      <c r="E102" s="6" t="inlineStr">
        <is>
          <t>Ô tô và phụ tùng</t>
        </is>
      </c>
      <c r="F102" s="6" t="inlineStr">
        <is>
          <t>Hàng Tiêu dùng</t>
        </is>
      </c>
      <c r="G102" s="7" t="inlineStr">
        <is>
          <t>⭐ Đầu ngành</t>
        </is>
      </c>
      <c r="H102" s="8" t="n">
        <v>1532965</v>
      </c>
      <c r="I102" s="9" t="n">
        <v>13000</v>
      </c>
      <c r="J102" s="10" t="inlineStr">
        <is>
          <t>Cả tiền mặt &amp; cổ phiếu</t>
        </is>
      </c>
      <c r="K102" s="11" t="inlineStr">
        <is>
          <t>Hàng năm</t>
        </is>
      </c>
      <c r="L102" s="12" t="inlineStr">
        <is>
          <t>Có</t>
        </is>
      </c>
      <c r="M102" s="6" t="inlineStr">
        <is>
          <t>2018, 2017, 2016, 2011, 2010, 2009</t>
        </is>
      </c>
      <c r="N102" s="6" t="inlineStr">
        <is>
          <t>2018, 2017, 2016, 2015, 2013</t>
        </is>
      </c>
      <c r="O102" s="6" t="inlineStr">
        <is>
          <t>Tiền mặt hàng năm (2018, 2017, 2016, 2011, 2010, 2009); Cổ tức CP (2018, 2017, 2016, 2015, 2013)</t>
        </is>
      </c>
    </row>
    <row r="103" ht="22" customHeight="1">
      <c r="A103" s="13" t="n">
        <v>100</v>
      </c>
      <c r="B103" s="5" t="inlineStr">
        <is>
          <t>HHS</t>
        </is>
      </c>
      <c r="C103" s="13" t="inlineStr">
        <is>
          <t>HOSE</t>
        </is>
      </c>
      <c r="D103" s="14" t="inlineStr">
        <is>
          <t>CTCP Đầu tư Dịch vụ Hoàng Huy</t>
        </is>
      </c>
      <c r="E103" s="14" t="inlineStr">
        <is>
          <t>Ô tô và phụ tùng</t>
        </is>
      </c>
      <c r="F103" s="14" t="inlineStr">
        <is>
          <t>Hàng Tiêu dùng</t>
        </is>
      </c>
      <c r="G103" s="7" t="inlineStr">
        <is>
          <t>⭐ Đầu ngành</t>
        </is>
      </c>
      <c r="H103" s="15" t="n">
        <v>1193585</v>
      </c>
      <c r="I103" s="16" t="n">
        <v>10050</v>
      </c>
      <c r="J103" s="17" t="inlineStr">
        <is>
          <t>Cả tiền mặt &amp; cổ phiếu</t>
        </is>
      </c>
      <c r="K103" s="11" t="inlineStr">
        <is>
          <t>Hàng năm</t>
        </is>
      </c>
      <c r="L103" s="12" t="inlineStr">
        <is>
          <t>Có</t>
        </is>
      </c>
      <c r="M103" s="14" t="inlineStr">
        <is>
          <t>2020, 2016, 2015</t>
        </is>
      </c>
      <c r="N103" s="14" t="inlineStr">
        <is>
          <t>2024, 2023, 2021, 2016, 2015, 2014, 2013, 2012</t>
        </is>
      </c>
      <c r="O103" s="14" t="inlineStr">
        <is>
          <t>Tiền mặt hàng năm (2020, 2016, 2015); Cổ tức CP (2024, 2023, 2021, 2016, 2015, 2014, 2013, 2012)</t>
        </is>
      </c>
    </row>
    <row r="104" ht="22" customHeight="1">
      <c r="A104" s="4" t="n">
        <v>101</v>
      </c>
      <c r="B104" s="5" t="inlineStr">
        <is>
          <t>CTF</t>
        </is>
      </c>
      <c r="C104" s="4" t="inlineStr">
        <is>
          <t>HOSE</t>
        </is>
      </c>
      <c r="D104" s="6" t="inlineStr">
        <is>
          <t>CTCP City Auto</t>
        </is>
      </c>
      <c r="E104" s="6" t="inlineStr">
        <is>
          <t>Ô tô và phụ tùng</t>
        </is>
      </c>
      <c r="F104" s="6" t="inlineStr">
        <is>
          <t>Hàng Tiêu dùng</t>
        </is>
      </c>
      <c r="G104" s="7" t="inlineStr">
        <is>
          <t>⭐ Đầu ngành</t>
        </is>
      </c>
      <c r="H104" s="8" t="n">
        <v>313915</v>
      </c>
      <c r="I104" s="9" t="n">
        <v>21100</v>
      </c>
      <c r="J104" s="10" t="inlineStr">
        <is>
          <t>Cả tiền mặt &amp; cổ phiếu</t>
        </is>
      </c>
      <c r="K104" s="11" t="inlineStr">
        <is>
          <t>Hàng năm</t>
        </is>
      </c>
      <c r="L104" s="12" t="inlineStr">
        <is>
          <t>Có</t>
        </is>
      </c>
      <c r="M104" s="6" t="inlineStr">
        <is>
          <t>2025, 2018, 2017</t>
        </is>
      </c>
      <c r="N104" s="6" t="inlineStr">
        <is>
          <t>2024, 2023, 2022, 2021, 2019</t>
        </is>
      </c>
      <c r="O104" s="6" t="inlineStr">
        <is>
          <t>Tiền mặt hàng năm (2025, 2018, 2017); Cổ tức CP (2024, 2023, 2022, 2021, 2019)</t>
        </is>
      </c>
    </row>
    <row r="105" ht="22" customHeight="1">
      <c r="A105" s="13" t="n">
        <v>102</v>
      </c>
      <c r="B105" s="5" t="inlineStr">
        <is>
          <t>DRC</t>
        </is>
      </c>
      <c r="C105" s="13" t="inlineStr">
        <is>
          <t>HOSE</t>
        </is>
      </c>
      <c r="D105" s="14" t="inlineStr">
        <is>
          <t>CTCP Cao su Đà Nẵng</t>
        </is>
      </c>
      <c r="E105" s="14" t="inlineStr">
        <is>
          <t>Ô tô và phụ tùng</t>
        </is>
      </c>
      <c r="F105" s="14" t="inlineStr">
        <is>
          <t>Hàng Tiêu dùng</t>
        </is>
      </c>
      <c r="G105" s="7" t="inlineStr">
        <is>
          <t>⭐ Đầu ngành</t>
        </is>
      </c>
      <c r="H105" s="15" t="n">
        <v>156930</v>
      </c>
      <c r="I105" s="16" t="n">
        <v>10050</v>
      </c>
      <c r="J105" s="17" t="inlineStr">
        <is>
          <t>Cả tiền mặt &amp; cổ phiếu</t>
        </is>
      </c>
      <c r="K105" s="11" t="inlineStr">
        <is>
          <t>Hàng năm</t>
        </is>
      </c>
      <c r="L105" s="12" t="inlineStr">
        <is>
          <t>Có</t>
        </is>
      </c>
      <c r="M105" s="14" t="inlineStr">
        <is>
          <t>2026, 2025, 2024, 2023, 2022, 2021, 2020, 2019</t>
        </is>
      </c>
      <c r="N105" s="14" t="inlineStr">
        <is>
          <t>2025, 2016, 2012</t>
        </is>
      </c>
      <c r="O105" s="14" t="inlineStr">
        <is>
          <t>Tiền mặt hàng năm (2026, 2025, 2024, 2023, 2022, 2021, 2020, 2019); Cổ tức CP (2025, 2016, 2012)</t>
        </is>
      </c>
    </row>
    <row r="106" ht="22" customHeight="1">
      <c r="A106" s="4" t="n">
        <v>103</v>
      </c>
      <c r="B106" s="5" t="inlineStr">
        <is>
          <t>HAX</t>
        </is>
      </c>
      <c r="C106" s="4" t="inlineStr">
        <is>
          <t>HOSE</t>
        </is>
      </c>
      <c r="D106" s="6" t="inlineStr">
        <is>
          <t>CTCP Dịch vụ Ô tô Hàng Xanh</t>
        </is>
      </c>
      <c r="E106" s="6" t="inlineStr">
        <is>
          <t>Ô tô và phụ tùng</t>
        </is>
      </c>
      <c r="F106" s="6" t="inlineStr">
        <is>
          <t>Hàng Tiêu dùng</t>
        </is>
      </c>
      <c r="G106" s="7" t="inlineStr">
        <is>
          <t>⭐ Đầu ngành</t>
        </is>
      </c>
      <c r="H106" s="8" t="n">
        <v>87590</v>
      </c>
      <c r="I106" s="9" t="n">
        <v>8700</v>
      </c>
      <c r="J106" s="10" t="inlineStr">
        <is>
          <t>Cả tiền mặt &amp; cổ phiếu</t>
        </is>
      </c>
      <c r="K106" s="11" t="inlineStr">
        <is>
          <t>Hàng năm</t>
        </is>
      </c>
      <c r="L106" s="12" t="inlineStr">
        <is>
          <t>Có</t>
        </is>
      </c>
      <c r="M106" s="6" t="inlineStr">
        <is>
          <t>2025, 2024, 2023, 2022, 2020, 2019, 2018, 2010</t>
        </is>
      </c>
      <c r="N106" s="6" t="inlineStr">
        <is>
          <t>2024, 2023, 2022, 2021, 2018, 2017</t>
        </is>
      </c>
      <c r="O106" s="6" t="inlineStr">
        <is>
          <t>Tiền mặt hàng năm (2025, 2024, 2023, 2022, 2020, 2019, 2018, 2010); Cổ tức CP (2024, 2023, 2022, 2021, 2018, 2017)</t>
        </is>
      </c>
    </row>
    <row r="107" ht="22" customHeight="1">
      <c r="A107" s="13" t="n">
        <v>104</v>
      </c>
      <c r="B107" s="5" t="inlineStr">
        <is>
          <t>POW</t>
        </is>
      </c>
      <c r="C107" s="13" t="inlineStr">
        <is>
          <t>HOSE</t>
        </is>
      </c>
      <c r="D107" s="14" t="inlineStr">
        <is>
          <t>Tổng Công ty Điện lực Dầu khí Việt Nam - CTCP</t>
        </is>
      </c>
      <c r="E107" s="14" t="inlineStr">
        <is>
          <t>Điện, nước &amp; xăng dầu khí đốt</t>
        </is>
      </c>
      <c r="F107" s="14" t="inlineStr">
        <is>
          <t>Tiện ích Cộng đồng</t>
        </is>
      </c>
      <c r="G107" s="7" t="inlineStr">
        <is>
          <t>⭐ Đầu ngành</t>
        </is>
      </c>
      <c r="H107" s="15" t="n">
        <v>6485865</v>
      </c>
      <c r="I107" s="16" t="n">
        <v>12600</v>
      </c>
      <c r="J107" s="17" t="inlineStr">
        <is>
          <t>Cả tiền mặt &amp; cổ phiếu</t>
        </is>
      </c>
      <c r="K107" s="11" t="inlineStr">
        <is>
          <t>Hàng năm</t>
        </is>
      </c>
      <c r="L107" s="12" t="inlineStr">
        <is>
          <t>Có</t>
        </is>
      </c>
      <c r="M107" s="14" t="inlineStr">
        <is>
          <t>2021, 2020</t>
        </is>
      </c>
      <c r="N107" s="14" t="inlineStr">
        <is>
          <t>2025</t>
        </is>
      </c>
      <c r="O107" s="14" t="inlineStr">
        <is>
          <t>Tiền mặt hàng năm (2021, 2020); Cổ tức CP (2025)</t>
        </is>
      </c>
    </row>
    <row r="108" ht="22" customHeight="1">
      <c r="A108" s="4" t="n">
        <v>105</v>
      </c>
      <c r="B108" s="5" t="inlineStr">
        <is>
          <t>GAS</t>
        </is>
      </c>
      <c r="C108" s="4" t="inlineStr">
        <is>
          <t>HOSE</t>
        </is>
      </c>
      <c r="D108" s="6" t="inlineStr">
        <is>
          <t>Tổng Công ty Khí Việt Nam - CTCP</t>
        </is>
      </c>
      <c r="E108" s="6" t="inlineStr">
        <is>
          <t>Điện, nước &amp; xăng dầu khí đốt</t>
        </is>
      </c>
      <c r="F108" s="6" t="inlineStr">
        <is>
          <t>Tiện ích Cộng đồng</t>
        </is>
      </c>
      <c r="G108" s="7" t="inlineStr">
        <is>
          <t>⭐ Đầu ngành</t>
        </is>
      </c>
      <c r="H108" s="8" t="n">
        <v>1809940</v>
      </c>
      <c r="I108" s="9" t="n">
        <v>88000</v>
      </c>
      <c r="J108" s="10" t="inlineStr">
        <is>
          <t>Cả tiền mặt &amp; cổ phiếu</t>
        </is>
      </c>
      <c r="K108" s="11" t="inlineStr">
        <is>
          <t>Hàng năm</t>
        </is>
      </c>
      <c r="L108" s="12" t="inlineStr">
        <is>
          <t>Có</t>
        </is>
      </c>
      <c r="M108" s="6" t="inlineStr">
        <is>
          <t>2025, 2024, 2023, 2022, 2021, 2020, 2019, 2018</t>
        </is>
      </c>
      <c r="N108" s="6" t="inlineStr">
        <is>
          <t>2025, 2024, 2023</t>
        </is>
      </c>
      <c r="O108" s="6" t="inlineStr">
        <is>
          <t>Tiền mặt hàng năm (2025, 2024, 2023, 2022, 2021, 2020, 2019, 2018); Cổ tức CP (2025, 2024, 2023)</t>
        </is>
      </c>
    </row>
    <row r="109" ht="22" customHeight="1">
      <c r="A109" s="13" t="n">
        <v>106</v>
      </c>
      <c r="B109" s="5" t="inlineStr">
        <is>
          <t>HDG</t>
        </is>
      </c>
      <c r="C109" s="13" t="inlineStr">
        <is>
          <t>HOSE</t>
        </is>
      </c>
      <c r="D109" s="14" t="inlineStr">
        <is>
          <t>CTCP Tập đoàn Hà Đô</t>
        </is>
      </c>
      <c r="E109" s="14" t="inlineStr">
        <is>
          <t>Điện, nước &amp; xăng dầu khí đốt</t>
        </is>
      </c>
      <c r="F109" s="14" t="inlineStr">
        <is>
          <t>Tiện ích Cộng đồng</t>
        </is>
      </c>
      <c r="G109" s="7" t="inlineStr">
        <is>
          <t>⭐ Đầu ngành</t>
        </is>
      </c>
      <c r="H109" s="15" t="n">
        <v>1186055</v>
      </c>
      <c r="I109" s="16" t="n">
        <v>16100</v>
      </c>
      <c r="J109" s="17" t="inlineStr">
        <is>
          <t>Cả tiền mặt &amp; cổ phiếu</t>
        </is>
      </c>
      <c r="K109" s="11" t="inlineStr">
        <is>
          <t>Hàng năm</t>
        </is>
      </c>
      <c r="L109" s="12" t="inlineStr">
        <is>
          <t>Có</t>
        </is>
      </c>
      <c r="M109" s="14" t="inlineStr">
        <is>
          <t>2026, 2024, 2021, 2019, 2018, 2017, 2016, 2014</t>
        </is>
      </c>
      <c r="N109" s="14" t="inlineStr">
        <is>
          <t>2026, 2025, 2024, 2023, 2022, 2021, 2020, 2019</t>
        </is>
      </c>
      <c r="O109" s="14" t="inlineStr">
        <is>
          <t>Tiền mặt hàng năm (2026, 2024, 2021, 2019, 2018, 2017, 2016, 2014); Cổ tức CP (2026, 2025, 2024, 2023, 2022, 2021, 2020, 2019)</t>
        </is>
      </c>
    </row>
    <row r="110" ht="22" customHeight="1">
      <c r="A110" s="4" t="n">
        <v>107</v>
      </c>
      <c r="B110" s="5" t="inlineStr">
        <is>
          <t>NT2</t>
        </is>
      </c>
      <c r="C110" s="4" t="inlineStr">
        <is>
          <t>HOSE</t>
        </is>
      </c>
      <c r="D110" s="6" t="inlineStr">
        <is>
          <t>CTCP Điện lực Dầu khí Nhơn Trạch 2</t>
        </is>
      </c>
      <c r="E110" s="6" t="inlineStr">
        <is>
          <t>Điện, nước &amp; xăng dầu khí đốt</t>
        </is>
      </c>
      <c r="F110" s="6" t="inlineStr">
        <is>
          <t>Tiện ích Cộng đồng</t>
        </is>
      </c>
      <c r="G110" s="7" t="inlineStr">
        <is>
          <t>⭐ Đầu ngành</t>
        </is>
      </c>
      <c r="H110" s="8" t="n">
        <v>495995</v>
      </c>
      <c r="I110" s="9" t="n">
        <v>20800</v>
      </c>
      <c r="J110" s="10" t="inlineStr">
        <is>
          <t>Cả tiền mặt &amp; cổ phiếu</t>
        </is>
      </c>
      <c r="K110" s="11" t="inlineStr">
        <is>
          <t>Hàng năm</t>
        </is>
      </c>
      <c r="L110" s="12" t="inlineStr">
        <is>
          <t>Có</t>
        </is>
      </c>
      <c r="M110" s="6" t="inlineStr">
        <is>
          <t>2025, 2024, 2023, 2022, 2021, 2020, 2018, 2017</t>
        </is>
      </c>
      <c r="N110" s="6" t="inlineStr">
        <is>
          <t>2016, 2015</t>
        </is>
      </c>
      <c r="O110" s="6" t="inlineStr">
        <is>
          <t>Tiền mặt hàng năm (2025, 2024, 2023, 2022, 2021, 2020, 2018, 2017); Cổ tức CP (2016, 2015)</t>
        </is>
      </c>
    </row>
    <row r="111" ht="22" customHeight="1">
      <c r="A111" s="13" t="n">
        <v>108</v>
      </c>
      <c r="B111" s="5" t="inlineStr">
        <is>
          <t>REE</t>
        </is>
      </c>
      <c r="C111" s="13" t="inlineStr">
        <is>
          <t>HOSE</t>
        </is>
      </c>
      <c r="D111" s="14" t="inlineStr">
        <is>
          <t>CTCP Cơ Điện Lạnh</t>
        </is>
      </c>
      <c r="E111" s="14" t="inlineStr">
        <is>
          <t>Điện, nước &amp; xăng dầu khí đốt</t>
        </is>
      </c>
      <c r="F111" s="14" t="inlineStr">
        <is>
          <t>Tiện ích Cộng đồng</t>
        </is>
      </c>
      <c r="G111" s="7" t="inlineStr">
        <is>
          <t>⭐ Đầu ngành</t>
        </is>
      </c>
      <c r="H111" s="15" t="n">
        <v>321160</v>
      </c>
      <c r="I111" s="16" t="n">
        <v>47050</v>
      </c>
      <c r="J111" s="17" t="inlineStr">
        <is>
          <t>Cả tiền mặt &amp; cổ phiếu</t>
        </is>
      </c>
      <c r="K111" s="11" t="inlineStr">
        <is>
          <t>Hàng năm</t>
        </is>
      </c>
      <c r="L111" s="12" t="inlineStr">
        <is>
          <t>Có</t>
        </is>
      </c>
      <c r="M111" s="14" t="inlineStr">
        <is>
          <t>2026, 2025, 2024, 2023, 2022, 2020, 2019, 2018</t>
        </is>
      </c>
      <c r="N111" s="14" t="inlineStr">
        <is>
          <t>2026, 2025, 2024, 2023, 2022, 2016</t>
        </is>
      </c>
      <c r="O111" s="14" t="inlineStr">
        <is>
          <t>Tiền mặt hàng năm (2026, 2025, 2024, 2023, 2022, 2020, 2019, 2018); Cổ tức CP (2026, 2025, 2024, 2023, 2022, 2016)</t>
        </is>
      </c>
    </row>
    <row r="112" ht="22" customHeight="1">
      <c r="A112" s="4" t="n">
        <v>109</v>
      </c>
      <c r="B112" s="5" t="inlineStr">
        <is>
          <t>GEG</t>
        </is>
      </c>
      <c r="C112" s="4" t="inlineStr">
        <is>
          <t>HOSE</t>
        </is>
      </c>
      <c r="D112" s="6" t="inlineStr">
        <is>
          <t>CTCP Điện Gia Lai</t>
        </is>
      </c>
      <c r="E112" s="6" t="inlineStr">
        <is>
          <t>Điện, nước &amp; xăng dầu khí đốt</t>
        </is>
      </c>
      <c r="F112" s="6" t="inlineStr">
        <is>
          <t>Tiện ích Cộng đồng</t>
        </is>
      </c>
      <c r="G112" s="7" t="inlineStr">
        <is>
          <t>⭐ Đầu ngành</t>
        </is>
      </c>
      <c r="H112" s="8" t="n">
        <v>160570</v>
      </c>
      <c r="I112" s="9" t="n">
        <v>12350</v>
      </c>
      <c r="J112" s="10" t="inlineStr">
        <is>
          <t>Cả tiền mặt &amp; cổ phiếu</t>
        </is>
      </c>
      <c r="K112" s="11" t="inlineStr">
        <is>
          <t>Hàng năm</t>
        </is>
      </c>
      <c r="L112" s="12" t="inlineStr">
        <is>
          <t>Có</t>
        </is>
      </c>
      <c r="M112" s="6" t="inlineStr">
        <is>
          <t>2021, 2019, 2018</t>
        </is>
      </c>
      <c r="N112" s="6" t="inlineStr">
        <is>
          <t>2026, 2024, 2023, 2022, 2021, 2020, 2017</t>
        </is>
      </c>
      <c r="O112" s="6" t="inlineStr">
        <is>
          <t>Tiền mặt hàng năm (2021, 2019, 2018); Cổ tức CP (2026, 2024, 2023, 2022, 2021, 2020, 2017)</t>
        </is>
      </c>
    </row>
    <row r="113" ht="22" customHeight="1">
      <c r="A113" s="13" t="n">
        <v>110</v>
      </c>
      <c r="B113" s="22" t="inlineStr">
        <is>
          <t>QTP</t>
        </is>
      </c>
      <c r="C113" s="13" t="inlineStr">
        <is>
          <t>UPCOM</t>
        </is>
      </c>
      <c r="D113" s="14" t="inlineStr">
        <is>
          <t>CTCP Nhiệt điện Quảng Ninh</t>
        </is>
      </c>
      <c r="E113" s="14" t="inlineStr">
        <is>
          <t>Điện, nước &amp; xăng dầu khí đốt</t>
        </is>
      </c>
      <c r="F113" s="14" t="inlineStr">
        <is>
          <t>Tiện ích Cộng đồng</t>
        </is>
      </c>
      <c r="G113" s="7" t="inlineStr">
        <is>
          <t>⭐ Đầu ngành</t>
        </is>
      </c>
      <c r="H113" s="15" t="n">
        <v>86095</v>
      </c>
      <c r="I113" s="16" t="n">
        <v>11000</v>
      </c>
      <c r="J113" s="23" t="inlineStr">
        <is>
          <t>Tiền mặt hàng năm</t>
        </is>
      </c>
      <c r="K113" s="11" t="inlineStr">
        <is>
          <t>Hàng năm</t>
        </is>
      </c>
      <c r="L113" s="13" t="inlineStr">
        <is>
          <t>Không</t>
        </is>
      </c>
      <c r="M113" s="14" t="inlineStr">
        <is>
          <t>2026, 2025, 2024, 2023, 2022, 2021, 2020</t>
        </is>
      </c>
      <c r="N113" s="14" t="inlineStr">
        <is>
          <t>-</t>
        </is>
      </c>
      <c r="O113" s="14" t="inlineStr">
        <is>
          <t>Tiền mặt hàng năm (2026, 2025, 2024, 2023, 2022, 2021, 2020)</t>
        </is>
      </c>
    </row>
  </sheetData>
  <autoFilter ref="A3:O113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18" customWidth="1" min="4" max="4"/>
    <col width="24" customWidth="1" min="5" max="5"/>
    <col width="18" customWidth="1" min="6" max="6"/>
    <col width="28" customWidth="1" min="7" max="7"/>
  </cols>
  <sheetData>
    <row r="1" ht="40" customHeight="1">
      <c r="A1" s="1" t="inlineStr">
        <is>
          <t>BÁO CÁO TỔNG HỢP VÀ THỐNG KÊ THEO 19 NHÓM NGÀNH (ICB)</t>
        </is>
      </c>
    </row>
    <row r="3">
      <c r="A3" s="28" t="inlineStr">
        <is>
          <t>1. QUY ƯỚC ĐỊNH DẠNG MÀU SẮC &amp; TIÊU CHÍ LỌC</t>
        </is>
      </c>
    </row>
    <row r="4" ht="25" customHeight="1">
      <c r="A4" s="29" t="inlineStr">
        <is>
          <t>Quy ước màu sắc / Ký hiệu</t>
        </is>
      </c>
      <c r="B4" s="30" t="inlineStr">
        <is>
          <t>Ý nghĩa &amp; Diễn giải chi tiết</t>
        </is>
      </c>
      <c r="C4" s="52" t="n"/>
      <c r="D4" s="52" t="n"/>
      <c r="E4" s="52" t="n"/>
      <c r="F4" s="52" t="n"/>
      <c r="G4" s="53" t="n"/>
    </row>
    <row r="5" ht="24" customHeight="1">
      <c r="A5" s="11" t="inlineStr">
        <is>
          <t>Mã tô đậm màu Xanh lá</t>
        </is>
      </c>
      <c r="B5" s="14" t="inlineStr">
        <is>
          <t>Doanh nghiệp chia CỔ TỨC TIỀN MẶT HÀNG NĂM đều đặn (duy trì trả tiền mặt trong nhiều năm gần đây).</t>
        </is>
      </c>
      <c r="C5" s="54" t="n"/>
      <c r="D5" s="54" t="n"/>
      <c r="E5" s="54" t="n"/>
      <c r="F5" s="54" t="n"/>
      <c r="G5" s="55" t="n"/>
    </row>
    <row r="6" ht="24" customHeight="1">
      <c r="A6" s="12" t="inlineStr">
        <is>
          <t>Mã tô đậm màu Đỏ</t>
        </is>
      </c>
      <c r="B6" s="14" t="inlineStr">
        <is>
          <t>Doanh nghiệp có chia CỔ TỨC BẰNG CỔ PHIẾU / Cổ phiếu thưởng.</t>
        </is>
      </c>
      <c r="C6" s="54" t="n"/>
      <c r="D6" s="54" t="n"/>
      <c r="E6" s="54" t="n"/>
      <c r="F6" s="54" t="n"/>
      <c r="G6" s="55" t="n"/>
    </row>
    <row r="7" ht="24" customHeight="1">
      <c r="A7" s="5" t="inlineStr">
        <is>
          <t>Mã màu Xanh ngọc đậm (Emerald)</t>
        </is>
      </c>
      <c r="B7" s="14" t="inlineStr">
        <is>
          <t>Doanh nghiệp kết hợp CẢ HAI hình thức: Trả tiền mặt hàng năm VÀ có thưởng/chia cổ phiếu.</t>
        </is>
      </c>
      <c r="C7" s="54" t="n"/>
      <c r="D7" s="54" t="n"/>
      <c r="E7" s="54" t="n"/>
      <c r="F7" s="54" t="n"/>
      <c r="G7" s="55" t="n"/>
    </row>
    <row r="8" ht="24" customHeight="1">
      <c r="A8" s="7" t="inlineStr">
        <is>
          <t>Vị thế ⭐ Đầu ngành (Vàng)</t>
        </is>
      </c>
      <c r="B8" s="14" t="inlineStr">
        <is>
          <t>Doanh nghiệp đầu ngành về quy mô vốn hóa, thị phần, thương hiệu và thanh khoản.</t>
        </is>
      </c>
      <c r="C8" s="54" t="n"/>
      <c r="D8" s="54" t="n"/>
      <c r="E8" s="54" t="n"/>
      <c r="F8" s="54" t="n"/>
      <c r="G8" s="55" t="n"/>
    </row>
    <row r="9" ht="24" customHeight="1">
      <c r="A9" s="31" t="inlineStr">
        <is>
          <t>Tiêu chí thanh khoản lọc</t>
        </is>
      </c>
      <c r="B9" s="14" t="inlineStr">
        <is>
          <t>Khối lượng giao dịch bình quân 20 phiên (AvgVol20) &gt;= 50,000 cổ phiếu trên 3 sàn HOSE, HNX, UPCOM.</t>
        </is>
      </c>
      <c r="C9" s="54" t="n"/>
      <c r="D9" s="54" t="n"/>
      <c r="E9" s="54" t="n"/>
      <c r="F9" s="54" t="n"/>
      <c r="G9" s="55" t="n"/>
    </row>
    <row r="12">
      <c r="A12" s="28" t="inlineStr">
        <is>
          <t>2. BẢNG THỐNG KÊ CHI TIẾT THEO 19 NHÓM NGÀNH</t>
        </is>
      </c>
    </row>
    <row r="13" ht="26" customHeight="1">
      <c r="A13" s="29" t="inlineStr">
        <is>
          <t>STT</t>
        </is>
      </c>
      <c r="B13" s="29" t="inlineStr">
        <is>
          <t>Nhóm ngành (ICB Cấp 2)</t>
        </is>
      </c>
      <c r="C13" s="29" t="inlineStr">
        <is>
          <t>Tổng số mã (&gt;= 50k)</t>
        </is>
      </c>
      <c r="D13" s="29" t="inlineStr">
        <is>
          <t>Số mã đầu ngành</t>
        </is>
      </c>
      <c r="E13" s="29" t="inlineStr">
        <is>
          <t>Cổ tức tiền mặt hàng năm</t>
        </is>
      </c>
      <c r="F13" s="29" t="inlineStr">
        <is>
          <t>Cổ tức cổ phiếu</t>
        </is>
      </c>
      <c r="G13" s="29" t="inlineStr">
        <is>
          <t>Tổng KLGD BQ 20 phiên (CP)</t>
        </is>
      </c>
    </row>
    <row r="14" ht="22" customHeight="1">
      <c r="A14" s="13" t="n">
        <v>1</v>
      </c>
      <c r="B14" s="32" t="inlineStr">
        <is>
          <t>Bán lẻ</t>
        </is>
      </c>
      <c r="C14" s="16" t="n">
        <v>7</v>
      </c>
      <c r="D14" s="16" t="n">
        <v>4</v>
      </c>
      <c r="E14" s="16" t="n">
        <v>4</v>
      </c>
      <c r="F14" s="16" t="n">
        <v>5</v>
      </c>
      <c r="G14" s="16" t="n">
        <v>6034985</v>
      </c>
    </row>
    <row r="15" ht="22" customHeight="1">
      <c r="A15" s="4" t="n">
        <v>2</v>
      </c>
      <c r="B15" s="33" t="inlineStr">
        <is>
          <t>Bảo hiểm</t>
        </is>
      </c>
      <c r="C15" s="9" t="n">
        <v>3</v>
      </c>
      <c r="D15" s="9" t="n">
        <v>3</v>
      </c>
      <c r="E15" s="9" t="n">
        <v>3</v>
      </c>
      <c r="F15" s="9" t="n">
        <v>2</v>
      </c>
      <c r="G15" s="9" t="n">
        <v>783550</v>
      </c>
    </row>
    <row r="16" ht="22" customHeight="1">
      <c r="A16" s="13" t="n">
        <v>3</v>
      </c>
      <c r="B16" s="32" t="inlineStr">
        <is>
          <t>Bất động sản</t>
        </is>
      </c>
      <c r="C16" s="16" t="n">
        <v>52</v>
      </c>
      <c r="D16" s="16" t="n">
        <v>11</v>
      </c>
      <c r="E16" s="16" t="n">
        <v>24</v>
      </c>
      <c r="F16" s="16" t="n">
        <v>49</v>
      </c>
      <c r="G16" s="16" t="n">
        <v>96839997.85714287</v>
      </c>
    </row>
    <row r="17" ht="22" customHeight="1">
      <c r="A17" s="4" t="n">
        <v>4</v>
      </c>
      <c r="B17" s="33" t="inlineStr">
        <is>
          <t>Công nghệ Thông tin</t>
        </is>
      </c>
      <c r="C17" s="9" t="n">
        <v>5</v>
      </c>
      <c r="D17" s="9" t="n">
        <v>3</v>
      </c>
      <c r="E17" s="9" t="n">
        <v>5</v>
      </c>
      <c r="F17" s="9" t="n">
        <v>5</v>
      </c>
      <c r="G17" s="9" t="n">
        <v>6828840</v>
      </c>
    </row>
    <row r="18" ht="22" customHeight="1">
      <c r="A18" s="13" t="n">
        <v>5</v>
      </c>
      <c r="B18" s="32" t="inlineStr">
        <is>
          <t>Du lịch và Giải trí</t>
        </is>
      </c>
      <c r="C18" s="16" t="n">
        <v>7</v>
      </c>
      <c r="D18" s="16" t="n">
        <v>4</v>
      </c>
      <c r="E18" s="16" t="n">
        <v>3</v>
      </c>
      <c r="F18" s="16" t="n">
        <v>3</v>
      </c>
      <c r="G18" s="16" t="n">
        <v>3582590</v>
      </c>
    </row>
    <row r="19" ht="22" customHeight="1">
      <c r="A19" s="4" t="n">
        <v>6</v>
      </c>
      <c r="B19" s="33" t="inlineStr">
        <is>
          <t>Dầu khí</t>
        </is>
      </c>
      <c r="C19" s="9" t="n">
        <v>7</v>
      </c>
      <c r="D19" s="9" t="n">
        <v>5</v>
      </c>
      <c r="E19" s="9" t="n">
        <v>7</v>
      </c>
      <c r="F19" s="9" t="n">
        <v>4</v>
      </c>
      <c r="G19" s="9" t="n">
        <v>29927670</v>
      </c>
    </row>
    <row r="20" ht="22" customHeight="1">
      <c r="A20" s="13" t="n">
        <v>7</v>
      </c>
      <c r="B20" s="32" t="inlineStr">
        <is>
          <t>Dịch vụ tài chính</t>
        </is>
      </c>
      <c r="C20" s="16" t="n">
        <v>34</v>
      </c>
      <c r="D20" s="16" t="n">
        <v>7</v>
      </c>
      <c r="E20" s="16" t="n">
        <v>15</v>
      </c>
      <c r="F20" s="16" t="n">
        <v>25</v>
      </c>
      <c r="G20" s="16" t="n">
        <v>122261550.9142857</v>
      </c>
    </row>
    <row r="21" ht="22" customHeight="1">
      <c r="A21" s="4" t="n">
        <v>8</v>
      </c>
      <c r="B21" s="33" t="inlineStr">
        <is>
          <t>Hàng &amp; Dịch vụ Công nghiệp</t>
        </is>
      </c>
      <c r="C21" s="9" t="n">
        <v>24</v>
      </c>
      <c r="D21" s="9" t="n">
        <v>6</v>
      </c>
      <c r="E21" s="9" t="n">
        <v>15</v>
      </c>
      <c r="F21" s="9" t="n">
        <v>20</v>
      </c>
      <c r="G21" s="9" t="n">
        <v>33630974.28571428</v>
      </c>
    </row>
    <row r="22" ht="22" customHeight="1">
      <c r="A22" s="13" t="n">
        <v>9</v>
      </c>
      <c r="B22" s="32" t="inlineStr">
        <is>
          <t>Hàng cá nhân &amp; Gia dụng</t>
        </is>
      </c>
      <c r="C22" s="16" t="n">
        <v>12</v>
      </c>
      <c r="D22" s="16" t="n">
        <v>5</v>
      </c>
      <c r="E22" s="16" t="n">
        <v>8</v>
      </c>
      <c r="F22" s="16" t="n">
        <v>9</v>
      </c>
      <c r="G22" s="16" t="n">
        <v>8120957.857142856</v>
      </c>
    </row>
    <row r="23" ht="22" customHeight="1">
      <c r="A23" s="4" t="n">
        <v>10</v>
      </c>
      <c r="B23" s="33" t="inlineStr">
        <is>
          <t>Hóa chất</t>
        </is>
      </c>
      <c r="C23" s="9" t="n">
        <v>24</v>
      </c>
      <c r="D23" s="9" t="n">
        <v>6</v>
      </c>
      <c r="E23" s="9" t="n">
        <v>18</v>
      </c>
      <c r="F23" s="9" t="n">
        <v>17</v>
      </c>
      <c r="G23" s="9" t="n">
        <v>17062028.57142857</v>
      </c>
    </row>
    <row r="24" ht="22" customHeight="1">
      <c r="A24" s="13" t="n">
        <v>11</v>
      </c>
      <c r="B24" s="32" t="inlineStr">
        <is>
          <t>Ngân hàng</t>
        </is>
      </c>
      <c r="C24" s="16" t="n">
        <v>24</v>
      </c>
      <c r="D24" s="16" t="n">
        <v>10</v>
      </c>
      <c r="E24" s="16" t="n">
        <v>13</v>
      </c>
      <c r="F24" s="16" t="n">
        <v>22</v>
      </c>
      <c r="G24" s="16" t="n">
        <v>166256185.4</v>
      </c>
    </row>
    <row r="25" ht="22" customHeight="1">
      <c r="A25" s="4" t="n">
        <v>12</v>
      </c>
      <c r="B25" s="33" t="inlineStr">
        <is>
          <t>Thực phẩm và đồ uống</t>
        </is>
      </c>
      <c r="C25" s="9" t="n">
        <v>32</v>
      </c>
      <c r="D25" s="9" t="n">
        <v>7</v>
      </c>
      <c r="E25" s="9" t="n">
        <v>18</v>
      </c>
      <c r="F25" s="9" t="n">
        <v>24</v>
      </c>
      <c r="G25" s="9" t="n">
        <v>21834612.61904762</v>
      </c>
    </row>
    <row r="26" ht="22" customHeight="1">
      <c r="A26" s="13" t="n">
        <v>13</v>
      </c>
      <c r="B26" s="32" t="inlineStr">
        <is>
          <t>Truyền thông</t>
        </is>
      </c>
      <c r="C26" s="16" t="n">
        <v>3</v>
      </c>
      <c r="D26" s="16" t="n">
        <v>3</v>
      </c>
      <c r="E26" s="16" t="n">
        <v>0</v>
      </c>
      <c r="F26" s="16" t="n">
        <v>1</v>
      </c>
      <c r="G26" s="16" t="n">
        <v>707890</v>
      </c>
    </row>
    <row r="27" ht="22" customHeight="1">
      <c r="A27" s="4" t="n">
        <v>14</v>
      </c>
      <c r="B27" s="33" t="inlineStr">
        <is>
          <t>Tài nguyên Cơ bản</t>
        </is>
      </c>
      <c r="C27" s="9" t="n">
        <v>26</v>
      </c>
      <c r="D27" s="9" t="n">
        <v>6</v>
      </c>
      <c r="E27" s="9" t="n">
        <v>12</v>
      </c>
      <c r="F27" s="9" t="n">
        <v>21</v>
      </c>
      <c r="G27" s="9" t="n">
        <v>34842909.28571428</v>
      </c>
    </row>
    <row r="28" ht="22" customHeight="1">
      <c r="A28" s="13" t="n">
        <v>15</v>
      </c>
      <c r="B28" s="32" t="inlineStr">
        <is>
          <t>Viễn thông</t>
        </is>
      </c>
      <c r="C28" s="16" t="n">
        <v>2</v>
      </c>
      <c r="D28" s="16" t="n">
        <v>2</v>
      </c>
      <c r="E28" s="16" t="n">
        <v>2</v>
      </c>
      <c r="F28" s="16" t="n">
        <v>1</v>
      </c>
      <c r="G28" s="16" t="n">
        <v>324585</v>
      </c>
    </row>
    <row r="29" ht="22" customHeight="1">
      <c r="A29" s="4" t="n">
        <v>16</v>
      </c>
      <c r="B29" s="33" t="inlineStr">
        <is>
          <t>Xây dựng và Vật liệu</t>
        </is>
      </c>
      <c r="C29" s="9" t="n">
        <v>57</v>
      </c>
      <c r="D29" s="9" t="n">
        <v>11</v>
      </c>
      <c r="E29" s="9" t="n">
        <v>36</v>
      </c>
      <c r="F29" s="9" t="n">
        <v>45</v>
      </c>
      <c r="G29" s="9" t="n">
        <v>32969986.42857143</v>
      </c>
    </row>
    <row r="30" ht="22" customHeight="1">
      <c r="A30" s="13" t="n">
        <v>17</v>
      </c>
      <c r="B30" s="32" t="inlineStr">
        <is>
          <t>Y tế</t>
        </is>
      </c>
      <c r="C30" s="16" t="n">
        <v>10</v>
      </c>
      <c r="D30" s="16" t="n">
        <v>5</v>
      </c>
      <c r="E30" s="16" t="n">
        <v>2</v>
      </c>
      <c r="F30" s="16" t="n">
        <v>9</v>
      </c>
      <c r="G30" s="16" t="n">
        <v>2491092.857142857</v>
      </c>
    </row>
    <row r="31" ht="22" customHeight="1">
      <c r="A31" s="4" t="n">
        <v>18</v>
      </c>
      <c r="B31" s="33" t="inlineStr">
        <is>
          <t>Ô tô và phụ tùng</t>
        </is>
      </c>
      <c r="C31" s="9" t="n">
        <v>8</v>
      </c>
      <c r="D31" s="9" t="n">
        <v>5</v>
      </c>
      <c r="E31" s="9" t="n">
        <v>7</v>
      </c>
      <c r="F31" s="9" t="n">
        <v>6</v>
      </c>
      <c r="G31" s="9" t="n">
        <v>3810806.428571429</v>
      </c>
    </row>
    <row r="32" ht="22" customHeight="1">
      <c r="A32" s="13" t="n">
        <v>19</v>
      </c>
      <c r="B32" s="32" t="inlineStr">
        <is>
          <t>Điện, nước &amp; xăng dầu khí đốt</t>
        </is>
      </c>
      <c r="C32" s="16" t="n">
        <v>16</v>
      </c>
      <c r="D32" s="16" t="n">
        <v>7</v>
      </c>
      <c r="E32" s="16" t="n">
        <v>12</v>
      </c>
      <c r="F32" s="16" t="n">
        <v>11</v>
      </c>
      <c r="G32" s="16" t="n">
        <v>12410112.14285714</v>
      </c>
    </row>
    <row r="33" ht="26" customHeight="1">
      <c r="A33" s="34" t="inlineStr"/>
      <c r="B33" s="35" t="inlineStr">
        <is>
          <t>TỔNG CỘNG THỊ TRƯỜNG</t>
        </is>
      </c>
      <c r="C33" s="36">
        <f>SUM(C14:C32)</f>
        <v/>
      </c>
      <c r="D33" s="36">
        <f>SUM(D14:D32)</f>
        <v/>
      </c>
      <c r="E33" s="36">
        <f>SUM(E14:E32)</f>
        <v/>
      </c>
      <c r="F33" s="36">
        <f>SUM(F14:F32)</f>
        <v/>
      </c>
      <c r="G33" s="36">
        <f>SUM(G14:G32)</f>
        <v/>
      </c>
    </row>
  </sheetData>
  <mergeCells count="7">
    <mergeCell ref="A1:G1"/>
    <mergeCell ref="B5:G5"/>
    <mergeCell ref="B9:G9"/>
    <mergeCell ref="B8:G8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2026-09-21T02:35:06Z</dcterms:created>
  <dcterms:modified xsi:type="dcterms:W3CDTF">2026-09-21T02:35:25Z</dcterms:modified>
</cp:coreProperties>
</file>